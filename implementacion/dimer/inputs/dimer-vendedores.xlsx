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TavoH\Downloads\"/>
    </mc:Choice>
  </mc:AlternateContent>
  <xr:revisionPtr revIDLastSave="0" documentId="13_ncr:1_{2576D7B8-6132-4E9C-828D-051F92163CAE}" xr6:coauthVersionLast="47" xr6:coauthVersionMax="47" xr10:uidLastSave="{00000000-0000-0000-0000-000000000000}"/>
  <bookViews>
    <workbookView xWindow="28680" yWindow="1155" windowWidth="20730" windowHeight="11040" xr2:uid="{00000000-000D-0000-FFFF-FFFF00000000}"/>
  </bookViews>
  <sheets>
    <sheet name="Hoja2" sheetId="2" r:id="rId1"/>
    <sheet name="Hoja1" sheetId="3" state="hidden" r:id="rId2"/>
    <sheet name="Hoja3" sheetId="4" state="hidden" r:id="rId3"/>
    <sheet name="Hoja4" sheetId="5" state="hidden" r:id="rId4"/>
    <sheet name="Monica" sheetId="6" state="hidden" r:id="rId5"/>
    <sheet name="Efrain" sheetId="7" state="hidden" r:id="rId6"/>
  </sheets>
  <definedNames>
    <definedName name="_xlnm._FilterDatabase" localSheetId="0" hidden="1">Hoja2!$A$1:$H$31</definedName>
    <definedName name="_xlnm._FilterDatabase" localSheetId="3" hidden="1">Hoja4!$A$4:$M$4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5" l="1"/>
  <c r="D14" i="5"/>
  <c r="D15" i="5"/>
  <c r="D16" i="5"/>
  <c r="D17" i="5"/>
  <c r="D18" i="5"/>
  <c r="D19" i="5"/>
  <c r="D20" i="5"/>
  <c r="D6" i="5"/>
  <c r="D21" i="5"/>
  <c r="D22" i="5"/>
  <c r="D7" i="5"/>
  <c r="D8" i="5"/>
  <c r="D9" i="5"/>
  <c r="D10" i="5"/>
  <c r="D11" i="5"/>
  <c r="D12" i="5"/>
  <c r="D13" i="5"/>
  <c r="D23" i="5"/>
  <c r="E23" i="5" s="1"/>
  <c r="E10" i="5" l="1"/>
  <c r="E8" i="5"/>
  <c r="M8" i="5" s="1"/>
  <c r="J23" i="5"/>
  <c r="M23" i="5"/>
  <c r="F23" i="5"/>
  <c r="I23" i="5"/>
  <c r="M10" i="5"/>
  <c r="F10" i="5"/>
  <c r="E17" i="5"/>
  <c r="E15" i="5"/>
  <c r="F15" i="5" s="1"/>
  <c r="E18" i="5"/>
  <c r="G18" i="5" s="1"/>
  <c r="E19" i="5"/>
  <c r="M19" i="5" s="1"/>
  <c r="E6" i="5"/>
  <c r="F6" i="5" s="1"/>
  <c r="E12" i="5"/>
  <c r="L12" i="5" s="1"/>
  <c r="E22" i="5"/>
  <c r="I22" i="5" s="1"/>
  <c r="E13" i="5"/>
  <c r="G13" i="5" s="1"/>
  <c r="E20" i="5"/>
  <c r="G20" i="5" s="1"/>
  <c r="E16" i="5"/>
  <c r="I16" i="5" s="1"/>
  <c r="M22" i="5"/>
  <c r="F22" i="5"/>
  <c r="I6" i="5"/>
  <c r="M6" i="5"/>
  <c r="M12" i="5"/>
  <c r="E11" i="5"/>
  <c r="H11" i="5" s="1"/>
  <c r="E7" i="5"/>
  <c r="F7" i="5" s="1"/>
  <c r="E14" i="5"/>
  <c r="K14" i="5" s="1"/>
  <c r="E9" i="5"/>
  <c r="F9" i="5" s="1"/>
  <c r="E21" i="5"/>
  <c r="M21" i="5" s="1"/>
  <c r="E5" i="5"/>
  <c r="J5" i="5" s="1"/>
  <c r="G8" i="5"/>
  <c r="K8" i="5"/>
  <c r="H8" i="5"/>
  <c r="L8" i="5"/>
  <c r="G10" i="5"/>
  <c r="K10" i="5"/>
  <c r="H10" i="5"/>
  <c r="L10" i="5"/>
  <c r="J8" i="5"/>
  <c r="L14" i="5"/>
  <c r="G12" i="5"/>
  <c r="J10" i="5"/>
  <c r="I8" i="5"/>
  <c r="M7" i="5"/>
  <c r="G6" i="5"/>
  <c r="K6" i="5"/>
  <c r="H6" i="5"/>
  <c r="L6" i="5"/>
  <c r="H20" i="5"/>
  <c r="M16" i="5"/>
  <c r="K20" i="5"/>
  <c r="F14" i="5"/>
  <c r="J14" i="5"/>
  <c r="G23" i="5"/>
  <c r="K23" i="5"/>
  <c r="H23" i="5"/>
  <c r="L23" i="5"/>
  <c r="I10" i="5"/>
  <c r="F8" i="5"/>
  <c r="K7" i="5"/>
  <c r="H22" i="5"/>
  <c r="J6" i="5"/>
  <c r="I18" i="5"/>
  <c r="J18" i="5"/>
  <c r="H15" i="5"/>
  <c r="H14" i="5"/>
  <c r="I20" i="5"/>
  <c r="M20" i="5"/>
  <c r="F20" i="5"/>
  <c r="J20" i="5"/>
  <c r="K18" i="5"/>
  <c r="G17" i="5"/>
  <c r="K17" i="5"/>
  <c r="H17" i="5"/>
  <c r="L17" i="5"/>
  <c r="J15" i="5"/>
  <c r="G5" i="5"/>
  <c r="K5" i="5"/>
  <c r="I5" i="5"/>
  <c r="L22" i="5" l="1"/>
  <c r="H13" i="5"/>
  <c r="K11" i="5"/>
  <c r="J19" i="5"/>
  <c r="I21" i="5"/>
  <c r="F11" i="5"/>
  <c r="M11" i="5"/>
  <c r="M13" i="5"/>
  <c r="G19" i="5"/>
  <c r="L19" i="5"/>
  <c r="I13" i="5"/>
  <c r="F19" i="5"/>
  <c r="F18" i="5"/>
  <c r="K22" i="5"/>
  <c r="L13" i="5"/>
  <c r="I11" i="5"/>
  <c r="K21" i="5"/>
  <c r="H19" i="5"/>
  <c r="F21" i="5"/>
  <c r="J13" i="5"/>
  <c r="L11" i="5"/>
  <c r="L18" i="5"/>
  <c r="J22" i="5"/>
  <c r="I19" i="5"/>
  <c r="K13" i="5"/>
  <c r="J21" i="5"/>
  <c r="M18" i="5"/>
  <c r="H21" i="5"/>
  <c r="G22" i="5"/>
  <c r="G11" i="5"/>
  <c r="J11" i="5"/>
  <c r="K19" i="5"/>
  <c r="F13" i="5"/>
  <c r="H18" i="5"/>
  <c r="H16" i="5"/>
  <c r="L15" i="5"/>
  <c r="K16" i="5"/>
  <c r="I17" i="5"/>
  <c r="F17" i="5"/>
  <c r="M17" i="5"/>
  <c r="L16" i="5"/>
  <c r="G16" i="5"/>
  <c r="I12" i="5"/>
  <c r="F12" i="5"/>
  <c r="K15" i="5"/>
  <c r="J12" i="5"/>
  <c r="J16" i="5"/>
  <c r="H12" i="5"/>
  <c r="I15" i="5"/>
  <c r="M15" i="5"/>
  <c r="G15" i="5"/>
  <c r="F16" i="5"/>
  <c r="K12" i="5"/>
  <c r="L20" i="5"/>
  <c r="J17" i="5"/>
  <c r="L9" i="5"/>
  <c r="G9" i="5"/>
  <c r="H9" i="5"/>
  <c r="K9" i="5"/>
  <c r="L7" i="5"/>
  <c r="G7" i="5"/>
  <c r="H7" i="5"/>
  <c r="F5" i="5"/>
  <c r="I9" i="5"/>
  <c r="M14" i="5"/>
  <c r="I7" i="5"/>
  <c r="M9" i="5"/>
  <c r="L5" i="5"/>
  <c r="H5" i="5"/>
  <c r="G14" i="5"/>
  <c r="J9" i="5"/>
  <c r="I14" i="5"/>
  <c r="M5" i="5"/>
  <c r="J7" i="5"/>
  <c r="G21" i="5"/>
  <c r="L21" i="5"/>
</calcChain>
</file>

<file path=xl/sharedStrings.xml><?xml version="1.0" encoding="utf-8"?>
<sst xmlns="http://schemas.openxmlformats.org/spreadsheetml/2006/main" count="519" uniqueCount="329">
  <si>
    <t>4 - Placilla P. Ancha</t>
  </si>
  <si>
    <t>7 - Reñaca/G. Carreño</t>
  </si>
  <si>
    <t>14 - Limache/Olmue</t>
  </si>
  <si>
    <t>8 - Reñaca Alto/V. Oriente</t>
  </si>
  <si>
    <t>10 - Achupallas/V. Olimpica</t>
  </si>
  <si>
    <t>13 - Limache/Peñablanca</t>
  </si>
  <si>
    <t>2 - Centro Valparaiso</t>
  </si>
  <si>
    <t>12 - T. Viejos/V. Ale Norte</t>
  </si>
  <si>
    <t>5 - Centro Viña/Forestal</t>
  </si>
  <si>
    <t>1 - Baron/San Roque</t>
  </si>
  <si>
    <t>9 - Con Con/Tabolango</t>
  </si>
  <si>
    <t>16 - Recreo</t>
  </si>
  <si>
    <t>3 - Esperanza</t>
  </si>
  <si>
    <t>6 - Sub Centro/Miraflores</t>
  </si>
  <si>
    <t>11 - C. Quilpue/Belloto</t>
  </si>
  <si>
    <t>Rutas</t>
  </si>
  <si>
    <t>Enrique Vargas</t>
  </si>
  <si>
    <t>Telefono</t>
  </si>
  <si>
    <t>+56 9 7988 5480</t>
  </si>
  <si>
    <t>+56 9 6406 4740</t>
  </si>
  <si>
    <t>+56 9 7988 7974</t>
  </si>
  <si>
    <t>+56 9 7622 6575</t>
  </si>
  <si>
    <t>+56 9 7988 4955</t>
  </si>
  <si>
    <t>+56 9 6305 8385</t>
  </si>
  <si>
    <t>+56 9 8328 9239</t>
  </si>
  <si>
    <t>+56 9 5835 0457</t>
  </si>
  <si>
    <t>+56 9 7620 2743</t>
  </si>
  <si>
    <t>+56 9 5659 1864</t>
  </si>
  <si>
    <t>jvergara@dimerltda.cl</t>
  </si>
  <si>
    <t>Correo Electronico</t>
  </si>
  <si>
    <t>dimer.evargas@gmail.com</t>
  </si>
  <si>
    <t>dimer.ecaceres@gmail.com</t>
  </si>
  <si>
    <t>Vendedor</t>
  </si>
  <si>
    <t>Jose Ignacio Vergara</t>
  </si>
  <si>
    <t>15 - Especializado</t>
  </si>
  <si>
    <t>22 - Casablanca/Curacavi</t>
  </si>
  <si>
    <t>23 - David Ponce</t>
  </si>
  <si>
    <t>Nombre Vendedor</t>
  </si>
  <si>
    <t>+56 9 7367 0511</t>
  </si>
  <si>
    <t>Codigo</t>
  </si>
  <si>
    <t>Nombre</t>
  </si>
  <si>
    <t>Direccion</t>
  </si>
  <si>
    <t>Tipo de Movimiento</t>
  </si>
  <si>
    <t>Modelo de Maquina</t>
  </si>
  <si>
    <t>PLACA ENTREGA</t>
  </si>
  <si>
    <t>PLACA RETIRO</t>
  </si>
  <si>
    <t>Estado</t>
  </si>
  <si>
    <t>1410789920C</t>
  </si>
  <si>
    <t>MAURICIO TORO</t>
  </si>
  <si>
    <t>CALLE EL QUELTEHUE 76 BRISAS CURAUMA III</t>
  </si>
  <si>
    <t>Entrega</t>
  </si>
  <si>
    <t>EFI 350</t>
  </si>
  <si>
    <t>22A0452186</t>
  </si>
  <si>
    <t>SD-400</t>
  </si>
  <si>
    <t>OK</t>
  </si>
  <si>
    <t>Retiro</t>
  </si>
  <si>
    <t>864571130C</t>
  </si>
  <si>
    <t>SAAVEDRA SILVA NELLY BEATRIZ</t>
  </si>
  <si>
    <t>CARDENAL SAMOREE 886</t>
  </si>
  <si>
    <t>CV 200</t>
  </si>
  <si>
    <t>19A0280836</t>
  </si>
  <si>
    <t>1264939910C</t>
  </si>
  <si>
    <t>MORALES NUÑEZ FLOR MADELEINE</t>
  </si>
  <si>
    <t>AV CURAUMA NORTE 1093 S/N</t>
  </si>
  <si>
    <t>SD 400</t>
  </si>
  <si>
    <t>22A0452248</t>
  </si>
  <si>
    <t>21A0393991</t>
  </si>
  <si>
    <t>NULA</t>
  </si>
  <si>
    <t>1697110110C</t>
  </si>
  <si>
    <t>VERA PEREZ EVA FRANCISCA</t>
  </si>
  <si>
    <t>OCTAVA N° 810 PLACILLA</t>
  </si>
  <si>
    <t>22A0449197</t>
  </si>
  <si>
    <t>20A0358662</t>
  </si>
  <si>
    <t>7604785710C</t>
  </si>
  <si>
    <t>VEGA Y VENEGAS Y ESCOBAR LIMITADA</t>
  </si>
  <si>
    <t>PLAZUELA ECUADOR 660</t>
  </si>
  <si>
    <t>18A0232744</t>
  </si>
  <si>
    <t>994863680C</t>
  </si>
  <si>
    <t>VALENZUELA LUCERO INGRID JACQUELINE</t>
  </si>
  <si>
    <t>MANZANO 209</t>
  </si>
  <si>
    <t>22A0449175</t>
  </si>
  <si>
    <t>1508027681C</t>
  </si>
  <si>
    <t>NUNEZ ESPINOZA DAMARIS EUGENIA</t>
  </si>
  <si>
    <t>CAM LA RUDA LT 132</t>
  </si>
  <si>
    <t>22A0452252</t>
  </si>
  <si>
    <t>808045041C</t>
  </si>
  <si>
    <t>ARANCIBIA PRADENA MARIA VICTORIA</t>
  </si>
  <si>
    <t>CALLE CARMEN 493 CERRO PLACERES</t>
  </si>
  <si>
    <t>Desconocido</t>
  </si>
  <si>
    <t>1353910500C</t>
  </si>
  <si>
    <t>NAPOLI BORQUEZ MARISOL ANGELINA</t>
  </si>
  <si>
    <t>IGNACIO CARRERA PINTO 722 EX CAMINO CINTURA</t>
  </si>
  <si>
    <t>13A0003762</t>
  </si>
  <si>
    <t>76084682121C</t>
  </si>
  <si>
    <t>OK MARKET S.A.</t>
  </si>
  <si>
    <t>AV CONDELL 1505</t>
  </si>
  <si>
    <t>22A0448911</t>
  </si>
  <si>
    <t>22A0445743</t>
  </si>
  <si>
    <t>11400541K0C</t>
  </si>
  <si>
    <t>ALVAREZ LOPEZ OSCAR ALEXIS</t>
  </si>
  <si>
    <t>LOS GLACIARES 1933</t>
  </si>
  <si>
    <t>7675404420C</t>
  </si>
  <si>
    <t>COMERCIAL Y SERVICIOS AGUAYO LTDA</t>
  </si>
  <si>
    <t>CALLE MARGA MARGA 1612</t>
  </si>
  <si>
    <t>22A0446267</t>
  </si>
  <si>
    <t>VV-11BTF</t>
  </si>
  <si>
    <t>19A0305362</t>
  </si>
  <si>
    <t>8397000080C</t>
  </si>
  <si>
    <t>COMERCIAL PARADA Y CIA. LTDA</t>
  </si>
  <si>
    <t>AV. VALPARAISO 1215 COPEC (PUNTO COPEC)</t>
  </si>
  <si>
    <t>21A0404160</t>
  </si>
  <si>
    <t>7647007831C</t>
  </si>
  <si>
    <t>VIVIANA M GUARDA A PANADERIAS Y OTROS EI</t>
  </si>
  <si>
    <t>PASEO LA TORRE 55</t>
  </si>
  <si>
    <t>22A0452254</t>
  </si>
  <si>
    <t>MIMETCV350</t>
  </si>
  <si>
    <t>1932726060C</t>
  </si>
  <si>
    <t>RAMOS OLGUIN AYLEEN ANDREA</t>
  </si>
  <si>
    <t>FREIRE 498</t>
  </si>
  <si>
    <t>22A0452178</t>
  </si>
  <si>
    <t>933654880C</t>
  </si>
  <si>
    <t>VALENZUELA FARIAS LUIS ALBERTO</t>
  </si>
  <si>
    <t>LAUTARO 158</t>
  </si>
  <si>
    <t>22A0452179</t>
  </si>
  <si>
    <t>10917565K0C</t>
  </si>
  <si>
    <t>GARCIA CORONILLA MARIA CRISTINA</t>
  </si>
  <si>
    <t>GENERAL BUERNA 1240</t>
  </si>
  <si>
    <t>22A0449203</t>
  </si>
  <si>
    <t>76968168K1C</t>
  </si>
  <si>
    <t>MUÑOZ SEVERINO LIMITADA</t>
  </si>
  <si>
    <t>AVDA VALPARAISO 1982 LOCAL 3</t>
  </si>
  <si>
    <t>CV 350</t>
  </si>
  <si>
    <t>20A0358572</t>
  </si>
  <si>
    <t>18A0231544</t>
  </si>
  <si>
    <t>10819849-5</t>
  </si>
  <si>
    <t>CHRISTIAN MARTINEZ ARAYA</t>
  </si>
  <si>
    <t>AV VALPARAISO 1982 (UNIMARC)</t>
  </si>
  <si>
    <t>22A0450607</t>
  </si>
  <si>
    <t>825124030C</t>
  </si>
  <si>
    <t>APABLAZA FUENTEALBA EVA</t>
  </si>
  <si>
    <t>PORVENIR SUR 1308</t>
  </si>
  <si>
    <t>SD 235</t>
  </si>
  <si>
    <t>Afiche Mega</t>
  </si>
  <si>
    <t>Afiche Zoorpresa</t>
  </si>
  <si>
    <t>Afiche Crazy</t>
  </si>
  <si>
    <t>Pizarra Hogar</t>
  </si>
  <si>
    <t>Pizarra Impulso</t>
  </si>
  <si>
    <t>Pizarra Impulso Hogar</t>
  </si>
  <si>
    <t>Afiche Vaso Sahne</t>
  </si>
  <si>
    <t>Afiche Danky</t>
  </si>
  <si>
    <t>Etiquetas de fila</t>
  </si>
  <si>
    <t>Cuenta de Código SN</t>
  </si>
  <si>
    <t>Total general</t>
  </si>
  <si>
    <t>Orden</t>
  </si>
  <si>
    <t>Lilian Socla</t>
  </si>
  <si>
    <t>Isabel Socla</t>
  </si>
  <si>
    <t>Ana Ortiz</t>
  </si>
  <si>
    <t>Juan Fernando Duran</t>
  </si>
  <si>
    <t>Ricardo Carroza</t>
  </si>
  <si>
    <t>Isabel Socla 2</t>
  </si>
  <si>
    <t>Rosa Espinoza</t>
  </si>
  <si>
    <t>Jose Guerrero</t>
  </si>
  <si>
    <t>Alfredo Figueroa</t>
  </si>
  <si>
    <t>Minimarket y Comida al Paso</t>
  </si>
  <si>
    <t>Maria Enriquez Castillo</t>
  </si>
  <si>
    <t>Susana Vega</t>
  </si>
  <si>
    <t>Nora Vidal</t>
  </si>
  <si>
    <t>Mendoza Minita</t>
  </si>
  <si>
    <t>Muñoz Aceval</t>
  </si>
  <si>
    <t>Damariz Nuñez</t>
  </si>
  <si>
    <t>Cesar Tamarin</t>
  </si>
  <si>
    <t>Bernardita Bravo</t>
  </si>
  <si>
    <t>Hilda Mendez</t>
  </si>
  <si>
    <t>Ruth Hernandez</t>
  </si>
  <si>
    <t>Fernando Andonie</t>
  </si>
  <si>
    <t>Toro Jeria</t>
  </si>
  <si>
    <t>Christian Ravest</t>
  </si>
  <si>
    <t>dimer.etorres@gmail.com</t>
  </si>
  <si>
    <t>+56 9 7367 6911</t>
  </si>
  <si>
    <t>dimer.rsepulveda@gmail.com</t>
  </si>
  <si>
    <t>+56 9 9255 1422</t>
  </si>
  <si>
    <t>Diego Rodriguez</t>
  </si>
  <si>
    <t>dimer.drodriguez@gmail.com</t>
  </si>
  <si>
    <t>18 - San Felipe - Los Andes</t>
  </si>
  <si>
    <t>dimer.fportilla@gmail.com</t>
  </si>
  <si>
    <t>+56 9 5659 1863</t>
  </si>
  <si>
    <t>+56 9 7988 5264</t>
  </si>
  <si>
    <t>11 - Quilpue Centro</t>
  </si>
  <si>
    <t>12 - Belloto</t>
  </si>
  <si>
    <t>15 - Villa Alemana</t>
  </si>
  <si>
    <t>Limache - Olmue - Quebrada Alvarado</t>
  </si>
  <si>
    <t>Centro Villa Alemana - Huanhuali - Villa Alemana Sur - Troncos Viejos</t>
  </si>
  <si>
    <t>dimer.cravest@gmail.com</t>
  </si>
  <si>
    <t>+56 9 7988 4917</t>
  </si>
  <si>
    <t>1 - Valparaiso H</t>
  </si>
  <si>
    <t>2 - Congelados Valparaiso</t>
  </si>
  <si>
    <t>3 - Placilla/P.Ancha</t>
  </si>
  <si>
    <t>4 - Recreo - Baron</t>
  </si>
  <si>
    <t>5 - Forestal/El Olivar</t>
  </si>
  <si>
    <t>6 - Viña Plan</t>
  </si>
  <si>
    <t>7 - Achupalla/Reñaca Alto</t>
  </si>
  <si>
    <t>8 - Congelados Viña</t>
  </si>
  <si>
    <t>10 - Concon - Miraflores</t>
  </si>
  <si>
    <t>13 - Congelados Interior</t>
  </si>
  <si>
    <t>17 - Peñablanca/Quillota/Calera</t>
  </si>
  <si>
    <t>19 - Tabolango - Papudo</t>
  </si>
  <si>
    <t>Luis Aranda</t>
  </si>
  <si>
    <t>dimer.laranda@gmail.com</t>
  </si>
  <si>
    <t>Marcelo Romero</t>
  </si>
  <si>
    <t>dimer.mromero@gmail.com</t>
  </si>
  <si>
    <t>Isaac Soto</t>
  </si>
  <si>
    <t>dimer.isoto@gmail.com</t>
  </si>
  <si>
    <t>Luis Malave</t>
  </si>
  <si>
    <t>dimer.lmalave2@gmail.com</t>
  </si>
  <si>
    <t>Sub Centro (Quillota a Chorrillos) - Centro de Viña de 1 a 15 norte incluye las salinas - Reñaca</t>
  </si>
  <si>
    <t>dimer.cfredez@gmail.com</t>
  </si>
  <si>
    <t>Centro Quilpue - Los Pinos -  Los Carreras - Pompeya - Villa Olimpica - Villa Hermosa - Los Lunes</t>
  </si>
  <si>
    <t>Belloto Norte - Centro - Sur</t>
  </si>
  <si>
    <t>RUT</t>
  </si>
  <si>
    <t>dimer.osoto@gmail.com</t>
  </si>
  <si>
    <t>9 - Curacavi/Litoral</t>
  </si>
  <si>
    <t>+56 9 6403 7193</t>
  </si>
  <si>
    <t>dimer.sruiz@gmail.com</t>
  </si>
  <si>
    <t>Cristian Fredez</t>
  </si>
  <si>
    <t>Jose Luis Osorio</t>
  </si>
  <si>
    <t>dimer.josorio@gmail.com</t>
  </si>
  <si>
    <t>Achupallas - Santa Julia - Reñaca Alto - Gomez Carreño - Glorias Navales - Granadilla</t>
  </si>
  <si>
    <t>Placilla/Curauma - Playa Ancha - Quintay (H)</t>
  </si>
  <si>
    <t>Helados</t>
  </si>
  <si>
    <t>Congelados/Helados</t>
  </si>
  <si>
    <t>Negocio</t>
  </si>
  <si>
    <t>Congelados</t>
  </si>
  <si>
    <t>Cesar Barraza</t>
  </si>
  <si>
    <t>22 - Miraflores/Limache</t>
  </si>
  <si>
    <t>Gustavo Lopez</t>
  </si>
  <si>
    <t xml:space="preserve">Recreo - Miraflores - Santa Ines - Limache </t>
  </si>
  <si>
    <t>Forestal - Canal Beagle - Olivar - Villa Independencia - Chorrillos - Nueva Aurora - Villa Dulce - Limonares</t>
  </si>
  <si>
    <t>Centro de Valparaíso, Cerros de Valparaíso</t>
  </si>
  <si>
    <t>ConCon - Borgoño - Reñaca</t>
  </si>
  <si>
    <t>dimer.cbarraza@gmail.com</t>
  </si>
  <si>
    <t>+56 9 5811 4071</t>
  </si>
  <si>
    <t>dimer.mmañes@gmail.com</t>
  </si>
  <si>
    <t>Supervisor</t>
  </si>
  <si>
    <t>Luis Traviezo</t>
  </si>
  <si>
    <t>Fernanda Portilla</t>
  </si>
  <si>
    <t>Catalina Merino</t>
  </si>
  <si>
    <t>dimer.gplopez@gmail.com</t>
  </si>
  <si>
    <t>+56 9 5814 9710</t>
  </si>
  <si>
    <t>+56 9 7988 5648</t>
  </si>
  <si>
    <t>+56 9 5814 7657</t>
  </si>
  <si>
    <t>+56 9 7988 5722</t>
  </si>
  <si>
    <t>cmerino@dimerltda.cl</t>
  </si>
  <si>
    <t>+56 9 8839 8680</t>
  </si>
  <si>
    <t>Diego Castillo</t>
  </si>
  <si>
    <t>Francisco Diaz</t>
  </si>
  <si>
    <t>20 - HORECA</t>
  </si>
  <si>
    <t>dimer.mramos@gmail.com</t>
  </si>
  <si>
    <t>Gustavo Hernandez</t>
  </si>
  <si>
    <t>Daniel Sepulveda</t>
  </si>
  <si>
    <t>Ignacio Vergara</t>
  </si>
  <si>
    <t>Gerente de Ventas</t>
  </si>
  <si>
    <t>Baron - Rodelillo - Placeres - Esperanza - Portales - San Roque</t>
  </si>
  <si>
    <t>30 - Melipilla</t>
  </si>
  <si>
    <t>Luis Garcia</t>
  </si>
  <si>
    <t>+56 9 5814 1749</t>
  </si>
  <si>
    <t>dimer.mravest@gmail.com</t>
  </si>
  <si>
    <t>dimer.macevedo@gpail.com</t>
  </si>
  <si>
    <t>dimer.fgonzalez@gmail.com</t>
  </si>
  <si>
    <t>dimer.vmontes@gmail.com</t>
  </si>
  <si>
    <t>dimer.lgarcia@gmail.com</t>
  </si>
  <si>
    <t>+56 9 6463 6942</t>
  </si>
  <si>
    <t>+56 9 5814 2220</t>
  </si>
  <si>
    <t>+56 9 9255 4833</t>
  </si>
  <si>
    <t>+56 9 6191 6961</t>
  </si>
  <si>
    <t>ghernandez@dimerltda.cl</t>
  </si>
  <si>
    <t>Melipilla</t>
  </si>
  <si>
    <t>Christian Aguila</t>
  </si>
  <si>
    <t>Curacavi - Maria Pinto - Melipilla</t>
  </si>
  <si>
    <t>Gonzalo Perez</t>
  </si>
  <si>
    <t>Playa Ancha - Laguna Verde (H) - Centro Valparaíso - Baron Rodelillo - Placilla</t>
  </si>
  <si>
    <t>16 - Especializado Litoral</t>
  </si>
  <si>
    <t>32 - El Quisco / Isla Negra</t>
  </si>
  <si>
    <t>José Quero</t>
  </si>
  <si>
    <t>33 - San Antonio Norte</t>
  </si>
  <si>
    <t>Natalia Martinez</t>
  </si>
  <si>
    <t>34 - Quillota / La Calera</t>
  </si>
  <si>
    <t>Javier Pinto</t>
  </si>
  <si>
    <t>35 - Recreo/Forestal</t>
  </si>
  <si>
    <t>Christian Barahona</t>
  </si>
  <si>
    <t>Doralisa Vivencio</t>
  </si>
  <si>
    <t>Maryvonne Zárate</t>
  </si>
  <si>
    <t>Maria Veronica Montes</t>
  </si>
  <si>
    <t>26 - La Ligua/Putaendo</t>
  </si>
  <si>
    <t>Serafin Orellana</t>
  </si>
  <si>
    <t>Miraflores - Reñaca Alto - Santa Julia - Achupallas - Santa Ines - Gomez Carreño - Glorias Navales</t>
  </si>
  <si>
    <t>Casablanca - Algarrobo</t>
  </si>
  <si>
    <t>Wilber Tebres</t>
  </si>
  <si>
    <t>Algarrobo - El Quisco - El Tabo - Las Cruces - San Antonio - Santo Domingo</t>
  </si>
  <si>
    <t>Anibal Sanchez</t>
  </si>
  <si>
    <t>dimer.asanchez@gmail.com</t>
  </si>
  <si>
    <t>Los Andes - San Felipe - Rinconada - San Esteban</t>
  </si>
  <si>
    <t>Isla Nagra - Punta Tralca - El Quisco - Algarrobo</t>
  </si>
  <si>
    <t>28 - El Tabo / Cartagena</t>
  </si>
  <si>
    <t>29 - San Antonio Sur / Sto. Domingo</t>
  </si>
  <si>
    <t>31 - Curacavi/Maria Pinto</t>
  </si>
  <si>
    <t>Llolleo - San Antonio Sur - Santo Domingo</t>
  </si>
  <si>
    <t>San Antonio Norte - Barrancas</t>
  </si>
  <si>
    <t>Cartagena - El Tabo - San Sebastian</t>
  </si>
  <si>
    <t>HORECA - 1 a 15 norte - Reñaca - Concon -  Viña Centro</t>
  </si>
  <si>
    <t>dimer.nmartinez@gmail.com</t>
  </si>
  <si>
    <t>Luis Montino</t>
  </si>
  <si>
    <t>Jose Crespo</t>
  </si>
  <si>
    <t>dimer.fdiaz@gmail.com</t>
  </si>
  <si>
    <t>+56 9 5814 7399</t>
  </si>
  <si>
    <t>+56 9 7988 8434</t>
  </si>
  <si>
    <t>+56 9 5814 6252</t>
  </si>
  <si>
    <t>+56 9 6181 6090</t>
  </si>
  <si>
    <t>+56 9 5815 0192</t>
  </si>
  <si>
    <t>+56 9 6190 3852</t>
  </si>
  <si>
    <t>dimer.jquero@gmail.com</t>
  </si>
  <si>
    <t>dimer.jpinto@gmail.com</t>
  </si>
  <si>
    <t>dimercbarahona@gmail.com</t>
  </si>
  <si>
    <t>dimer.wtebres@gmail.com</t>
  </si>
  <si>
    <t>Placeres - Forestal - Agua Santa - Nueva Aurora - Chorrillos</t>
  </si>
  <si>
    <t>Congelados Quilpue - Belloto - Villa Alemena (Centro y Norte) - Peñablanca - Colliguay</t>
  </si>
  <si>
    <t>Limache - Olmué - Quebrada Alvarado</t>
  </si>
  <si>
    <t>Tabolango - Quintero - Ventana - Horcón - Puchuncavi</t>
  </si>
  <si>
    <t>Quillota - La Calera - La Cruz</t>
  </si>
  <si>
    <t>Catemu - Panquehue - LlaiLlay - La Ligua - Cabildo - Hijuelas - Melon - Nogales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</si>
</sst>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indexed="63"/>
      <name val="Tahoma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222222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1" xfId="0" applyBorder="1"/>
    <xf numFmtId="0" fontId="4" fillId="6" borderId="3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5" fillId="7" borderId="5" xfId="0" applyFont="1" applyFill="1" applyBorder="1"/>
    <xf numFmtId="0" fontId="3" fillId="8" borderId="5" xfId="0" applyFont="1" applyFill="1" applyBorder="1"/>
    <xf numFmtId="0" fontId="5" fillId="7" borderId="5" xfId="0" applyFont="1" applyFill="1" applyBorder="1" applyAlignment="1">
      <alignment horizontal="right"/>
    </xf>
    <xf numFmtId="0" fontId="5" fillId="0" borderId="5" xfId="0" applyFont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4" fillId="6" borderId="1" xfId="0" applyFont="1" applyFill="1" applyBorder="1"/>
    <xf numFmtId="0" fontId="5" fillId="0" borderId="1" xfId="0" applyFont="1" applyBorder="1"/>
    <xf numFmtId="0" fontId="3" fillId="0" borderId="1" xfId="0" applyFont="1" applyBorder="1"/>
    <xf numFmtId="0" fontId="5" fillId="7" borderId="1" xfId="0" applyFont="1" applyFill="1" applyBorder="1"/>
    <xf numFmtId="0" fontId="5" fillId="8" borderId="1" xfId="0" applyFont="1" applyFill="1" applyBorder="1"/>
    <xf numFmtId="0" fontId="3" fillId="7" borderId="1" xfId="0" applyFont="1" applyFill="1" applyBorder="1" applyAlignment="1">
      <alignment horizontal="right"/>
    </xf>
    <xf numFmtId="0" fontId="3" fillId="8" borderId="1" xfId="0" applyFont="1" applyFill="1" applyBorder="1"/>
    <xf numFmtId="0" fontId="5" fillId="9" borderId="1" xfId="0" applyFont="1" applyFill="1" applyBorder="1"/>
    <xf numFmtId="0" fontId="5" fillId="7" borderId="1" xfId="0" applyFont="1" applyFill="1" applyBorder="1" applyAlignment="1">
      <alignment horizontal="right"/>
    </xf>
    <xf numFmtId="0" fontId="4" fillId="4" borderId="2" xfId="0" applyFont="1" applyFill="1" applyBorder="1"/>
    <xf numFmtId="0" fontId="4" fillId="5" borderId="3" xfId="0" applyFont="1" applyFill="1" applyBorder="1"/>
    <xf numFmtId="0" fontId="5" fillId="0" borderId="5" xfId="0" applyFont="1" applyBorder="1" applyAlignment="1">
      <alignment horizontal="right"/>
    </xf>
    <xf numFmtId="0" fontId="5" fillId="9" borderId="5" xfId="0" applyFont="1" applyFill="1" applyBorder="1"/>
    <xf numFmtId="0" fontId="6" fillId="7" borderId="5" xfId="0" applyFont="1" applyFill="1" applyBorder="1"/>
    <xf numFmtId="0" fontId="5" fillId="8" borderId="5" xfId="0" applyFont="1" applyFill="1" applyBorder="1"/>
    <xf numFmtId="0" fontId="3" fillId="4" borderId="4" xfId="0" applyFont="1" applyFill="1" applyBorder="1"/>
    <xf numFmtId="0" fontId="3" fillId="7" borderId="5" xfId="0" applyFont="1" applyFill="1" applyBorder="1"/>
    <xf numFmtId="0" fontId="3" fillId="7" borderId="5" xfId="0" applyFont="1" applyFill="1" applyBorder="1" applyAlignment="1">
      <alignment horizontal="right"/>
    </xf>
    <xf numFmtId="0" fontId="7" fillId="0" borderId="0" xfId="0" applyFont="1"/>
    <xf numFmtId="0" fontId="7" fillId="0" borderId="6" xfId="0" applyFont="1" applyBorder="1"/>
    <xf numFmtId="0" fontId="7" fillId="6" borderId="6" xfId="0" applyFont="1" applyFill="1" applyBorder="1"/>
    <xf numFmtId="9" fontId="8" fillId="10" borderId="6" xfId="0" applyNumberFormat="1" applyFont="1" applyFill="1" applyBorder="1"/>
    <xf numFmtId="0" fontId="8" fillId="10" borderId="7" xfId="0" applyFont="1" applyFill="1" applyBorder="1"/>
    <xf numFmtId="0" fontId="8" fillId="10" borderId="6" xfId="0" applyFont="1" applyFill="1" applyBorder="1"/>
    <xf numFmtId="0" fontId="7" fillId="0" borderId="6" xfId="0" applyFont="1" applyBorder="1" applyAlignment="1">
      <alignment horizontal="left"/>
    </xf>
    <xf numFmtId="9" fontId="7" fillId="0" borderId="6" xfId="0" applyNumberFormat="1" applyFont="1" applyBorder="1"/>
    <xf numFmtId="1" fontId="7" fillId="0" borderId="6" xfId="0" applyNumberFormat="1" applyFont="1" applyBorder="1"/>
    <xf numFmtId="1" fontId="8" fillId="10" borderId="6" xfId="0" applyNumberFormat="1" applyFont="1" applyFill="1" applyBorder="1"/>
    <xf numFmtId="1" fontId="7" fillId="11" borderId="6" xfId="0" applyNumberFormat="1" applyFont="1" applyFill="1" applyBorder="1"/>
    <xf numFmtId="0" fontId="7" fillId="11" borderId="6" xfId="0" applyFont="1" applyFill="1" applyBorder="1" applyAlignment="1">
      <alignment horizontal="left"/>
    </xf>
    <xf numFmtId="0" fontId="7" fillId="11" borderId="6" xfId="0" applyFont="1" applyFill="1" applyBorder="1"/>
    <xf numFmtId="9" fontId="7" fillId="11" borderId="6" xfId="0" applyNumberFormat="1" applyFont="1" applyFill="1" applyBorder="1"/>
    <xf numFmtId="0" fontId="1" fillId="3" borderId="6" xfId="1" applyFill="1" applyBorder="1"/>
    <xf numFmtId="0" fontId="0" fillId="0" borderId="6" xfId="0" applyBorder="1"/>
    <xf numFmtId="0" fontId="1" fillId="0" borderId="6" xfId="1" applyBorder="1"/>
    <xf numFmtId="49" fontId="2" fillId="3" borderId="6" xfId="0" applyNumberFormat="1" applyFont="1" applyFill="1" applyBorder="1"/>
    <xf numFmtId="49" fontId="2" fillId="0" borderId="6" xfId="0" applyNumberFormat="1" applyFont="1" applyBorder="1"/>
    <xf numFmtId="0" fontId="0" fillId="2" borderId="6" xfId="0" applyFill="1" applyBorder="1"/>
    <xf numFmtId="49" fontId="2" fillId="12" borderId="6" xfId="0" applyNumberFormat="1" applyFont="1" applyFill="1" applyBorder="1"/>
    <xf numFmtId="49" fontId="2" fillId="13" borderId="6" xfId="0" applyNumberFormat="1" applyFont="1" applyFill="1" applyBorder="1"/>
    <xf numFmtId="0" fontId="1" fillId="0" borderId="1" xfId="1" applyBorder="1"/>
    <xf numFmtId="49" fontId="0" fillId="0" borderId="1" xfId="0" quotePrefix="1" applyNumberFormat="1" applyBorder="1"/>
    <xf numFmtId="49" fontId="0" fillId="0" borderId="1" xfId="0" applyNumberFormat="1" applyBorder="1"/>
    <xf numFmtId="49" fontId="0" fillId="0" borderId="6" xfId="0" applyNumberFormat="1" applyBorder="1"/>
    <xf numFmtId="49" fontId="0" fillId="0" borderId="6" xfId="0" quotePrefix="1" applyNumberFormat="1" applyBorder="1"/>
    <xf numFmtId="0" fontId="0" fillId="0" borderId="6" xfId="0" quotePrefix="1" applyBorder="1"/>
    <xf numFmtId="49" fontId="2" fillId="14" borderId="6" xfId="0" applyNumberFormat="1" applyFont="1" applyFill="1" applyBorder="1"/>
    <xf numFmtId="0" fontId="0" fillId="4" borderId="6" xfId="0" quotePrefix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imer.osoto@gmail.com" TargetMode="External"/><Relationship Id="rId13" Type="http://schemas.openxmlformats.org/officeDocument/2006/relationships/hyperlink" Target="mailto:dimer.cfredez@gmail.com" TargetMode="External"/><Relationship Id="rId18" Type="http://schemas.openxmlformats.org/officeDocument/2006/relationships/hyperlink" Target="mailto:dimer.etorres@gmail.com" TargetMode="External"/><Relationship Id="rId26" Type="http://schemas.openxmlformats.org/officeDocument/2006/relationships/hyperlink" Target="mailto:ghernandez@dimerltda.cl" TargetMode="External"/><Relationship Id="rId3" Type="http://schemas.openxmlformats.org/officeDocument/2006/relationships/hyperlink" Target="mailto:dimer.fportilla@gmail.com" TargetMode="External"/><Relationship Id="rId21" Type="http://schemas.openxmlformats.org/officeDocument/2006/relationships/hyperlink" Target="mailto:dimer.mravest@gmail.com" TargetMode="External"/><Relationship Id="rId7" Type="http://schemas.openxmlformats.org/officeDocument/2006/relationships/hyperlink" Target="mailto:dimer.laranda@gmail.com" TargetMode="External"/><Relationship Id="rId12" Type="http://schemas.openxmlformats.org/officeDocument/2006/relationships/hyperlink" Target="mailto:dimer.sruiz@gmail.com" TargetMode="External"/><Relationship Id="rId17" Type="http://schemas.openxmlformats.org/officeDocument/2006/relationships/hyperlink" Target="mailto:dimer.cbarraza@gmail.com" TargetMode="External"/><Relationship Id="rId25" Type="http://schemas.openxmlformats.org/officeDocument/2006/relationships/hyperlink" Target="mailto:dimer.lgarcia@gmail.com" TargetMode="External"/><Relationship Id="rId2" Type="http://schemas.openxmlformats.org/officeDocument/2006/relationships/hyperlink" Target="mailto:dimer.rsepulveda@gmail.com" TargetMode="External"/><Relationship Id="rId16" Type="http://schemas.openxmlformats.org/officeDocument/2006/relationships/hyperlink" Target="mailto:dimer.ecaceres@gmail.com" TargetMode="External"/><Relationship Id="rId20" Type="http://schemas.openxmlformats.org/officeDocument/2006/relationships/hyperlink" Target="mailto:cmerino@dimerltda.cl" TargetMode="External"/><Relationship Id="rId29" Type="http://schemas.openxmlformats.org/officeDocument/2006/relationships/hyperlink" Target="mailto:dimer.jpinto@gmail.com" TargetMode="External"/><Relationship Id="rId1" Type="http://schemas.openxmlformats.org/officeDocument/2006/relationships/hyperlink" Target="mailto:dimer.asanchez@gmail.com" TargetMode="External"/><Relationship Id="rId6" Type="http://schemas.openxmlformats.org/officeDocument/2006/relationships/hyperlink" Target="mailto:dimer.mramos@gmail.com" TargetMode="External"/><Relationship Id="rId11" Type="http://schemas.openxmlformats.org/officeDocument/2006/relationships/hyperlink" Target="mailto:dimer.mma&#241;es@gmail.com" TargetMode="External"/><Relationship Id="rId24" Type="http://schemas.openxmlformats.org/officeDocument/2006/relationships/hyperlink" Target="mailto:dimer.vmontes@gmail.com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mailto:dimer.cravest@gmail.com" TargetMode="External"/><Relationship Id="rId15" Type="http://schemas.openxmlformats.org/officeDocument/2006/relationships/hyperlink" Target="mailto:dimer.gplopez@gmail.com" TargetMode="External"/><Relationship Id="rId23" Type="http://schemas.openxmlformats.org/officeDocument/2006/relationships/hyperlink" Target="mailto:dimer.fgonzalez@gmail.com" TargetMode="External"/><Relationship Id="rId28" Type="http://schemas.openxmlformats.org/officeDocument/2006/relationships/hyperlink" Target="mailto:dimer.jquero@gmail.com" TargetMode="External"/><Relationship Id="rId10" Type="http://schemas.openxmlformats.org/officeDocument/2006/relationships/hyperlink" Target="mailto:dimer.lmalave2@gmail.com" TargetMode="External"/><Relationship Id="rId19" Type="http://schemas.openxmlformats.org/officeDocument/2006/relationships/hyperlink" Target="mailto:dimer.mromero@gmail.com" TargetMode="External"/><Relationship Id="rId31" Type="http://schemas.openxmlformats.org/officeDocument/2006/relationships/hyperlink" Target="mailto:dimer.wtebres@gmail.com" TargetMode="External"/><Relationship Id="rId4" Type="http://schemas.openxmlformats.org/officeDocument/2006/relationships/hyperlink" Target="mailto:dimer.drodriguez@gmail.com" TargetMode="External"/><Relationship Id="rId9" Type="http://schemas.openxmlformats.org/officeDocument/2006/relationships/hyperlink" Target="mailto:dimer.isoto@gmail.com" TargetMode="External"/><Relationship Id="rId14" Type="http://schemas.openxmlformats.org/officeDocument/2006/relationships/hyperlink" Target="mailto:dimer.josorio@gmail.com" TargetMode="External"/><Relationship Id="rId22" Type="http://schemas.openxmlformats.org/officeDocument/2006/relationships/hyperlink" Target="mailto:dimer.macevedo@gpail.com" TargetMode="External"/><Relationship Id="rId27" Type="http://schemas.openxmlformats.org/officeDocument/2006/relationships/hyperlink" Target="mailto:dimer.nmartinez@gmail.com" TargetMode="External"/><Relationship Id="rId30" Type="http://schemas.openxmlformats.org/officeDocument/2006/relationships/hyperlink" Target="mailto:dimercbarahon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F77D1-8C54-4FC3-925D-BC905805082A}">
  <sheetPr>
    <pageSetUpPr fitToPage="1"/>
  </sheetPr>
  <dimension ref="A1:H36"/>
  <sheetViews>
    <sheetView tabSelected="1" zoomScaleNormal="100" workbookViewId="0">
      <selection activeCell="F1" sqref="D1:F1048576"/>
    </sheetView>
  </sheetViews>
  <sheetFormatPr baseColWidth="10" defaultRowHeight="14.5" x14ac:dyDescent="0.35"/>
  <cols>
    <col min="1" max="1" width="14.81640625" bestFit="1" customWidth="1"/>
    <col min="2" max="2" width="23.1796875" bestFit="1" customWidth="1"/>
    <col min="3" max="3" width="17.453125" customWidth="1"/>
    <col min="4" max="4" width="14.81640625" customWidth="1"/>
    <col min="5" max="5" width="5.26953125" hidden="1" customWidth="1"/>
    <col min="6" max="6" width="75.453125" customWidth="1"/>
    <col min="7" max="7" width="16.1796875" customWidth="1"/>
    <col min="8" max="8" width="27.1796875" customWidth="1"/>
  </cols>
  <sheetData>
    <row r="1" spans="1:8" x14ac:dyDescent="0.35">
      <c r="A1" s="49" t="s">
        <v>242</v>
      </c>
      <c r="B1" s="49" t="s">
        <v>32</v>
      </c>
      <c r="C1" s="49" t="s">
        <v>37</v>
      </c>
      <c r="D1" s="49" t="s">
        <v>230</v>
      </c>
      <c r="E1" s="49" t="s">
        <v>218</v>
      </c>
      <c r="F1" s="49" t="s">
        <v>15</v>
      </c>
      <c r="G1" s="49" t="s">
        <v>17</v>
      </c>
      <c r="H1" s="49" t="s">
        <v>29</v>
      </c>
    </row>
    <row r="2" spans="1:8" x14ac:dyDescent="0.35">
      <c r="A2" s="48" t="s">
        <v>33</v>
      </c>
      <c r="B2" s="50" t="s">
        <v>194</v>
      </c>
      <c r="C2" s="47" t="s">
        <v>181</v>
      </c>
      <c r="D2" s="47" t="s">
        <v>228</v>
      </c>
      <c r="E2" s="47"/>
      <c r="F2" s="58" t="s">
        <v>237</v>
      </c>
      <c r="G2" s="56" t="s">
        <v>18</v>
      </c>
      <c r="H2" s="44" t="s">
        <v>182</v>
      </c>
    </row>
    <row r="3" spans="1:8" x14ac:dyDescent="0.35">
      <c r="A3" s="47" t="s">
        <v>257</v>
      </c>
      <c r="B3" s="51" t="s">
        <v>195</v>
      </c>
      <c r="C3" s="47" t="s">
        <v>278</v>
      </c>
      <c r="D3" s="47" t="s">
        <v>229</v>
      </c>
      <c r="E3" s="47"/>
      <c r="F3" s="58" t="s">
        <v>279</v>
      </c>
      <c r="G3" s="57" t="s">
        <v>247</v>
      </c>
      <c r="H3" s="46" t="s">
        <v>207</v>
      </c>
    </row>
    <row r="4" spans="1:8" x14ac:dyDescent="0.35">
      <c r="A4" s="48" t="s">
        <v>33</v>
      </c>
      <c r="B4" s="50" t="s">
        <v>196</v>
      </c>
      <c r="C4" s="47" t="s">
        <v>311</v>
      </c>
      <c r="D4" s="47" t="s">
        <v>228</v>
      </c>
      <c r="E4" s="47"/>
      <c r="F4" s="58" t="s">
        <v>227</v>
      </c>
      <c r="G4" s="56" t="s">
        <v>23</v>
      </c>
      <c r="H4" s="46" t="s">
        <v>219</v>
      </c>
    </row>
    <row r="5" spans="1:8" x14ac:dyDescent="0.35">
      <c r="A5" s="48" t="s">
        <v>33</v>
      </c>
      <c r="B5" s="50" t="s">
        <v>197</v>
      </c>
      <c r="C5" s="47" t="s">
        <v>243</v>
      </c>
      <c r="D5" s="47" t="s">
        <v>228</v>
      </c>
      <c r="E5" s="47"/>
      <c r="F5" s="58" t="s">
        <v>261</v>
      </c>
      <c r="G5" s="57" t="s">
        <v>248</v>
      </c>
      <c r="H5" s="46" t="s">
        <v>177</v>
      </c>
    </row>
    <row r="6" spans="1:8" x14ac:dyDescent="0.35">
      <c r="A6" s="48" t="s">
        <v>33</v>
      </c>
      <c r="B6" s="50" t="s">
        <v>198</v>
      </c>
      <c r="C6" s="47" t="s">
        <v>210</v>
      </c>
      <c r="D6" s="47" t="s">
        <v>228</v>
      </c>
      <c r="E6" s="47"/>
      <c r="F6" s="58" t="s">
        <v>236</v>
      </c>
      <c r="G6" s="57" t="s">
        <v>186</v>
      </c>
      <c r="H6" s="46" t="s">
        <v>211</v>
      </c>
    </row>
    <row r="7" spans="1:8" x14ac:dyDescent="0.35">
      <c r="A7" s="48" t="s">
        <v>33</v>
      </c>
      <c r="B7" s="50" t="s">
        <v>199</v>
      </c>
      <c r="C7" s="47" t="s">
        <v>212</v>
      </c>
      <c r="D7" s="47" t="s">
        <v>228</v>
      </c>
      <c r="E7" s="47"/>
      <c r="F7" s="58" t="s">
        <v>214</v>
      </c>
      <c r="G7" s="57" t="s">
        <v>19</v>
      </c>
      <c r="H7" s="46" t="s">
        <v>213</v>
      </c>
    </row>
    <row r="8" spans="1:8" x14ac:dyDescent="0.35">
      <c r="A8" s="48" t="s">
        <v>33</v>
      </c>
      <c r="B8" s="50" t="s">
        <v>200</v>
      </c>
      <c r="C8" s="47" t="s">
        <v>276</v>
      </c>
      <c r="D8" s="47" t="s">
        <v>228</v>
      </c>
      <c r="E8" s="47"/>
      <c r="F8" s="58" t="s">
        <v>226</v>
      </c>
      <c r="G8" s="57" t="s">
        <v>249</v>
      </c>
      <c r="H8" s="46" t="s">
        <v>241</v>
      </c>
    </row>
    <row r="9" spans="1:8" x14ac:dyDescent="0.35">
      <c r="A9" s="47" t="s">
        <v>257</v>
      </c>
      <c r="B9" s="51" t="s">
        <v>201</v>
      </c>
      <c r="C9" s="47" t="s">
        <v>258</v>
      </c>
      <c r="D9" s="47" t="s">
        <v>231</v>
      </c>
      <c r="E9" s="47"/>
      <c r="F9" s="58" t="s">
        <v>294</v>
      </c>
      <c r="G9" s="57" t="s">
        <v>24</v>
      </c>
      <c r="H9" s="46" t="s">
        <v>222</v>
      </c>
    </row>
    <row r="10" spans="1:8" x14ac:dyDescent="0.35">
      <c r="A10" s="47" t="s">
        <v>254</v>
      </c>
      <c r="B10" s="51" t="s">
        <v>220</v>
      </c>
      <c r="C10" s="47" t="s">
        <v>234</v>
      </c>
      <c r="D10" s="47" t="s">
        <v>229</v>
      </c>
      <c r="E10" s="47"/>
      <c r="F10" s="58" t="s">
        <v>295</v>
      </c>
      <c r="G10" s="56" t="s">
        <v>221</v>
      </c>
      <c r="H10" s="46" t="s">
        <v>246</v>
      </c>
    </row>
    <row r="11" spans="1:8" x14ac:dyDescent="0.35">
      <c r="A11" s="48" t="s">
        <v>33</v>
      </c>
      <c r="B11" s="50" t="s">
        <v>202</v>
      </c>
      <c r="C11" s="47" t="s">
        <v>224</v>
      </c>
      <c r="D11" s="47" t="s">
        <v>228</v>
      </c>
      <c r="E11" s="47"/>
      <c r="F11" s="58" t="s">
        <v>238</v>
      </c>
      <c r="G11" s="57" t="s">
        <v>185</v>
      </c>
      <c r="H11" s="46" t="s">
        <v>225</v>
      </c>
    </row>
    <row r="12" spans="1:8" x14ac:dyDescent="0.35">
      <c r="A12" s="48" t="s">
        <v>33</v>
      </c>
      <c r="B12" s="50" t="s">
        <v>187</v>
      </c>
      <c r="C12" s="47" t="s">
        <v>223</v>
      </c>
      <c r="D12" s="47" t="s">
        <v>228</v>
      </c>
      <c r="E12" s="47"/>
      <c r="F12" s="58" t="s">
        <v>216</v>
      </c>
      <c r="G12" s="57" t="s">
        <v>20</v>
      </c>
      <c r="H12" s="46" t="s">
        <v>215</v>
      </c>
    </row>
    <row r="13" spans="1:8" ht="16" customHeight="1" x14ac:dyDescent="0.35">
      <c r="A13" s="48" t="s">
        <v>33</v>
      </c>
      <c r="B13" s="50" t="s">
        <v>188</v>
      </c>
      <c r="C13" s="47" t="s">
        <v>208</v>
      </c>
      <c r="D13" s="47" t="s">
        <v>228</v>
      </c>
      <c r="E13" s="47"/>
      <c r="F13" s="58" t="s">
        <v>217</v>
      </c>
      <c r="G13" s="56" t="s">
        <v>21</v>
      </c>
      <c r="H13" s="46" t="s">
        <v>209</v>
      </c>
    </row>
    <row r="14" spans="1:8" x14ac:dyDescent="0.35">
      <c r="A14" s="47" t="s">
        <v>257</v>
      </c>
      <c r="B14" s="51" t="s">
        <v>203</v>
      </c>
      <c r="C14" s="47" t="s">
        <v>206</v>
      </c>
      <c r="D14" s="47" t="s">
        <v>229</v>
      </c>
      <c r="E14" s="47"/>
      <c r="F14" s="58" t="s">
        <v>324</v>
      </c>
      <c r="G14" s="57" t="s">
        <v>25</v>
      </c>
      <c r="H14" s="46" t="s">
        <v>31</v>
      </c>
    </row>
    <row r="15" spans="1:8" x14ac:dyDescent="0.35">
      <c r="A15" s="48" t="s">
        <v>33</v>
      </c>
      <c r="B15" s="50" t="s">
        <v>2</v>
      </c>
      <c r="C15" s="47" t="s">
        <v>176</v>
      </c>
      <c r="D15" s="47" t="s">
        <v>228</v>
      </c>
      <c r="E15" s="47"/>
      <c r="F15" s="58" t="s">
        <v>190</v>
      </c>
      <c r="G15" s="57" t="s">
        <v>193</v>
      </c>
      <c r="H15" s="46" t="s">
        <v>192</v>
      </c>
    </row>
    <row r="16" spans="1:8" ht="15.75" customHeight="1" x14ac:dyDescent="0.35">
      <c r="A16" s="48" t="s">
        <v>33</v>
      </c>
      <c r="B16" s="50" t="s">
        <v>189</v>
      </c>
      <c r="C16" s="47" t="s">
        <v>253</v>
      </c>
      <c r="D16" s="47" t="s">
        <v>228</v>
      </c>
      <c r="E16" s="47"/>
      <c r="F16" s="58" t="s">
        <v>191</v>
      </c>
      <c r="G16" s="57" t="s">
        <v>22</v>
      </c>
      <c r="H16" s="46" t="s">
        <v>179</v>
      </c>
    </row>
    <row r="17" spans="1:8" ht="15.75" customHeight="1" x14ac:dyDescent="0.35">
      <c r="A17" s="47" t="s">
        <v>257</v>
      </c>
      <c r="B17" s="51" t="s">
        <v>280</v>
      </c>
      <c r="C17" s="47" t="s">
        <v>296</v>
      </c>
      <c r="D17" s="47" t="s">
        <v>231</v>
      </c>
      <c r="E17" s="47"/>
      <c r="F17" s="58" t="s">
        <v>297</v>
      </c>
      <c r="G17" t="s">
        <v>250</v>
      </c>
      <c r="H17" s="46" t="s">
        <v>322</v>
      </c>
    </row>
    <row r="18" spans="1:8" x14ac:dyDescent="0.35">
      <c r="A18" s="47" t="s">
        <v>257</v>
      </c>
      <c r="B18" s="51" t="s">
        <v>204</v>
      </c>
      <c r="C18" s="47" t="s">
        <v>298</v>
      </c>
      <c r="D18" s="47" t="s">
        <v>231</v>
      </c>
      <c r="E18" s="47"/>
      <c r="F18" s="58" t="s">
        <v>325</v>
      </c>
      <c r="G18" s="57" t="s">
        <v>26</v>
      </c>
      <c r="H18" s="46" t="s">
        <v>299</v>
      </c>
    </row>
    <row r="19" spans="1:8" x14ac:dyDescent="0.35">
      <c r="A19" s="47" t="s">
        <v>257</v>
      </c>
      <c r="B19" s="51" t="s">
        <v>183</v>
      </c>
      <c r="C19" s="47" t="s">
        <v>244</v>
      </c>
      <c r="D19" s="47" t="s">
        <v>231</v>
      </c>
      <c r="E19" s="47"/>
      <c r="F19" s="58" t="s">
        <v>300</v>
      </c>
      <c r="G19" s="56" t="s">
        <v>178</v>
      </c>
      <c r="H19" s="46" t="s">
        <v>184</v>
      </c>
    </row>
    <row r="20" spans="1:8" x14ac:dyDescent="0.35">
      <c r="A20" s="47" t="s">
        <v>257</v>
      </c>
      <c r="B20" s="51" t="s">
        <v>205</v>
      </c>
      <c r="C20" s="47" t="s">
        <v>310</v>
      </c>
      <c r="D20" s="47" t="s">
        <v>231</v>
      </c>
      <c r="E20" s="47"/>
      <c r="F20" s="58" t="s">
        <v>326</v>
      </c>
      <c r="G20" s="56" t="s">
        <v>180</v>
      </c>
      <c r="H20" s="46" t="s">
        <v>256</v>
      </c>
    </row>
    <row r="21" spans="1:8" x14ac:dyDescent="0.35">
      <c r="A21" s="47" t="s">
        <v>257</v>
      </c>
      <c r="B21" s="51" t="s">
        <v>255</v>
      </c>
      <c r="C21" s="47" t="s">
        <v>16</v>
      </c>
      <c r="D21" s="47" t="s">
        <v>229</v>
      </c>
      <c r="E21" s="47"/>
      <c r="F21" s="58" t="s">
        <v>308</v>
      </c>
      <c r="G21" s="57" t="s">
        <v>38</v>
      </c>
      <c r="H21" s="45" t="s">
        <v>30</v>
      </c>
    </row>
    <row r="22" spans="1:8" x14ac:dyDescent="0.35">
      <c r="A22" s="47" t="s">
        <v>33</v>
      </c>
      <c r="B22" s="51" t="s">
        <v>233</v>
      </c>
      <c r="C22" s="47" t="s">
        <v>232</v>
      </c>
      <c r="D22" s="47" t="s">
        <v>228</v>
      </c>
      <c r="E22" s="47"/>
      <c r="F22" s="58" t="s">
        <v>235</v>
      </c>
      <c r="G22" s="57" t="s">
        <v>240</v>
      </c>
      <c r="H22" s="46" t="s">
        <v>239</v>
      </c>
    </row>
    <row r="23" spans="1:8" x14ac:dyDescent="0.35">
      <c r="A23" s="47" t="s">
        <v>257</v>
      </c>
      <c r="B23" s="51" t="s">
        <v>292</v>
      </c>
      <c r="C23" s="47" t="s">
        <v>293</v>
      </c>
      <c r="D23" s="47" t="s">
        <v>231</v>
      </c>
      <c r="E23" s="45"/>
      <c r="F23" s="58" t="s">
        <v>328</v>
      </c>
      <c r="G23" s="57" t="s">
        <v>313</v>
      </c>
      <c r="H23" s="46" t="s">
        <v>265</v>
      </c>
    </row>
    <row r="24" spans="1:8" x14ac:dyDescent="0.35">
      <c r="A24" s="47" t="s">
        <v>254</v>
      </c>
      <c r="B24" s="51" t="s">
        <v>302</v>
      </c>
      <c r="C24" s="47" t="s">
        <v>289</v>
      </c>
      <c r="D24" s="47" t="s">
        <v>229</v>
      </c>
      <c r="E24" s="45"/>
      <c r="F24" s="58" t="s">
        <v>307</v>
      </c>
      <c r="G24" s="57" t="s">
        <v>314</v>
      </c>
      <c r="H24" s="46" t="s">
        <v>266</v>
      </c>
    </row>
    <row r="25" spans="1:8" x14ac:dyDescent="0.35">
      <c r="A25" s="47" t="s">
        <v>254</v>
      </c>
      <c r="B25" s="51" t="s">
        <v>303</v>
      </c>
      <c r="C25" s="47" t="s">
        <v>290</v>
      </c>
      <c r="D25" s="47" t="s">
        <v>229</v>
      </c>
      <c r="E25" s="45"/>
      <c r="F25" s="58" t="s">
        <v>305</v>
      </c>
      <c r="G25" s="57" t="s">
        <v>270</v>
      </c>
      <c r="H25" s="46" t="s">
        <v>267</v>
      </c>
    </row>
    <row r="26" spans="1:8" x14ac:dyDescent="0.35">
      <c r="A26" s="47" t="s">
        <v>254</v>
      </c>
      <c r="B26" s="51" t="s">
        <v>262</v>
      </c>
      <c r="C26" s="47" t="s">
        <v>291</v>
      </c>
      <c r="D26" s="47" t="s">
        <v>229</v>
      </c>
      <c r="E26" s="45"/>
      <c r="F26" s="58" t="s">
        <v>275</v>
      </c>
      <c r="G26" s="57" t="s">
        <v>271</v>
      </c>
      <c r="H26" s="46" t="s">
        <v>268</v>
      </c>
    </row>
    <row r="27" spans="1:8" x14ac:dyDescent="0.35">
      <c r="A27" s="47" t="s">
        <v>254</v>
      </c>
      <c r="B27" s="51" t="s">
        <v>304</v>
      </c>
      <c r="C27" s="47" t="s">
        <v>263</v>
      </c>
      <c r="D27" s="47" t="s">
        <v>229</v>
      </c>
      <c r="E27" s="45"/>
      <c r="F27" s="58" t="s">
        <v>277</v>
      </c>
      <c r="G27" s="57" t="s">
        <v>315</v>
      </c>
      <c r="H27" s="46" t="s">
        <v>269</v>
      </c>
    </row>
    <row r="28" spans="1:8" x14ac:dyDescent="0.35">
      <c r="A28" s="47" t="s">
        <v>254</v>
      </c>
      <c r="B28" s="51" t="s">
        <v>281</v>
      </c>
      <c r="C28" s="47" t="s">
        <v>282</v>
      </c>
      <c r="D28" s="47" t="s">
        <v>229</v>
      </c>
      <c r="E28" s="45"/>
      <c r="F28" s="58" t="s">
        <v>301</v>
      </c>
      <c r="G28" s="57" t="s">
        <v>316</v>
      </c>
      <c r="H28" s="46" t="s">
        <v>319</v>
      </c>
    </row>
    <row r="29" spans="1:8" x14ac:dyDescent="0.35">
      <c r="A29" s="47" t="s">
        <v>254</v>
      </c>
      <c r="B29" s="51" t="s">
        <v>283</v>
      </c>
      <c r="C29" s="47" t="s">
        <v>284</v>
      </c>
      <c r="D29" s="47" t="s">
        <v>229</v>
      </c>
      <c r="E29" s="45"/>
      <c r="F29" s="58" t="s">
        <v>306</v>
      </c>
      <c r="G29" s="59" t="s">
        <v>264</v>
      </c>
      <c r="H29" s="46" t="s">
        <v>309</v>
      </c>
    </row>
    <row r="30" spans="1:8" x14ac:dyDescent="0.35">
      <c r="A30" s="47" t="s">
        <v>257</v>
      </c>
      <c r="B30" s="51" t="s">
        <v>285</v>
      </c>
      <c r="C30" s="47" t="s">
        <v>286</v>
      </c>
      <c r="D30" s="47" t="s">
        <v>231</v>
      </c>
      <c r="E30" s="45"/>
      <c r="F30" s="58" t="s">
        <v>327</v>
      </c>
      <c r="G30" s="57" t="s">
        <v>317</v>
      </c>
      <c r="H30" s="46" t="s">
        <v>320</v>
      </c>
    </row>
    <row r="31" spans="1:8" x14ac:dyDescent="0.35">
      <c r="A31" s="47" t="s">
        <v>257</v>
      </c>
      <c r="B31" s="51" t="s">
        <v>287</v>
      </c>
      <c r="C31" s="47" t="s">
        <v>288</v>
      </c>
      <c r="D31" s="47" t="s">
        <v>231</v>
      </c>
      <c r="E31" s="45"/>
      <c r="F31" s="58" t="s">
        <v>323</v>
      </c>
      <c r="G31" s="57" t="s">
        <v>318</v>
      </c>
      <c r="H31" s="46" t="s">
        <v>321</v>
      </c>
    </row>
    <row r="33" spans="1:8" x14ac:dyDescent="0.35">
      <c r="A33" s="1"/>
      <c r="B33" s="1" t="s">
        <v>27</v>
      </c>
      <c r="C33" s="47" t="s">
        <v>259</v>
      </c>
      <c r="D33" s="47" t="s">
        <v>242</v>
      </c>
      <c r="E33" s="45"/>
      <c r="F33" s="1"/>
      <c r="G33" s="1"/>
      <c r="H33" s="1" t="s">
        <v>28</v>
      </c>
    </row>
    <row r="34" spans="1:8" x14ac:dyDescent="0.35">
      <c r="A34" s="45"/>
      <c r="B34" s="53" t="s">
        <v>252</v>
      </c>
      <c r="C34" s="47" t="s">
        <v>245</v>
      </c>
      <c r="D34" s="47" t="s">
        <v>260</v>
      </c>
      <c r="E34" s="55"/>
      <c r="F34" s="54"/>
      <c r="G34" s="54"/>
      <c r="H34" s="52" t="s">
        <v>251</v>
      </c>
    </row>
    <row r="35" spans="1:8" x14ac:dyDescent="0.35">
      <c r="A35" s="45"/>
      <c r="B35" s="53" t="s">
        <v>272</v>
      </c>
      <c r="C35" s="47" t="s">
        <v>257</v>
      </c>
      <c r="D35" s="47" t="s">
        <v>242</v>
      </c>
      <c r="E35" s="45"/>
      <c r="F35" s="45"/>
      <c r="G35" s="45"/>
      <c r="H35" s="46" t="s">
        <v>274</v>
      </c>
    </row>
    <row r="36" spans="1:8" x14ac:dyDescent="0.35">
      <c r="A36" s="45"/>
      <c r="B36" s="53" t="s">
        <v>273</v>
      </c>
      <c r="C36" s="47" t="s">
        <v>254</v>
      </c>
      <c r="D36" s="47" t="s">
        <v>242</v>
      </c>
      <c r="E36" s="45"/>
      <c r="F36" s="45"/>
      <c r="G36" s="45"/>
      <c r="H36" s="45" t="s">
        <v>312</v>
      </c>
    </row>
  </sheetData>
  <autoFilter ref="A1:H31" xr:uid="{7C5F77D1-8C54-4FC3-925D-BC905805082A}"/>
  <hyperlinks>
    <hyperlink ref="H18" r:id="rId1" xr:uid="{2664B810-CD80-4A94-B479-BF416B473923}"/>
    <hyperlink ref="H16" r:id="rId2" xr:uid="{249BFD63-A2E0-4D58-ABB6-16DE5CEBD12F}"/>
    <hyperlink ref="H19" r:id="rId3" xr:uid="{2BD87073-C73E-47FC-8A2A-B749622460C8}"/>
    <hyperlink ref="H2" r:id="rId4" xr:uid="{E75901B3-E162-4DAE-8D9B-0725A7E3FFE1}"/>
    <hyperlink ref="H15" r:id="rId5" xr:uid="{A4BF5C82-FE4B-45E9-A264-64BD40EDF18B}"/>
    <hyperlink ref="H20" r:id="rId6" xr:uid="{CEAE0662-A29C-4F2D-B50D-7263D4EDE0C1}"/>
    <hyperlink ref="H3" r:id="rId7" xr:uid="{AD0A649C-762B-46F9-9E8E-C5920FA346C2}"/>
    <hyperlink ref="H4" r:id="rId8" xr:uid="{7AAEF736-83EB-41D1-B1BF-945700C8EE8F}"/>
    <hyperlink ref="H6" r:id="rId9" xr:uid="{8A91D085-8DBE-4B55-A9FB-09BB24DAC6D4}"/>
    <hyperlink ref="H7" r:id="rId10" xr:uid="{21597140-CA5F-4B30-9FE1-84A6BA86C78A}"/>
    <hyperlink ref="H8" r:id="rId11" xr:uid="{5FA470C7-7A29-472C-AF2D-DBBE244BEF68}"/>
    <hyperlink ref="H9" r:id="rId12" xr:uid="{917FBD98-DEAC-467B-A77E-1FEE07257E94}"/>
    <hyperlink ref="H12" r:id="rId13" xr:uid="{5B3FCB8E-3682-43C9-B685-D2EA67361A25}"/>
    <hyperlink ref="H11" r:id="rId14" xr:uid="{78BEA942-6DD3-4296-A83F-5E90C87EFDF1}"/>
    <hyperlink ref="H10" r:id="rId15" xr:uid="{CB2B801E-771E-404F-9F07-074F8DBFC85A}"/>
    <hyperlink ref="H14" r:id="rId16" xr:uid="{1423AB12-008E-4657-817C-318FD9B4DD0C}"/>
    <hyperlink ref="H22" r:id="rId17" xr:uid="{DECF9A71-B9A1-4CD7-A2C6-5AE5C80E79A2}"/>
    <hyperlink ref="H5" r:id="rId18" display="mailto:dimer.etorres@gmail.com" xr:uid="{2D913486-BD33-4267-9A5D-6C2755DE847C}"/>
    <hyperlink ref="H13" r:id="rId19" xr:uid="{11D6D10D-E4F8-4D09-9A2C-BDC420CAB074}"/>
    <hyperlink ref="H34" r:id="rId20" xr:uid="{6607E01F-B943-4A9F-87FD-BF2BB5BF560A}"/>
    <hyperlink ref="H23" r:id="rId21" xr:uid="{B5558713-5084-47A3-9D49-D56B4E835291}"/>
    <hyperlink ref="H24" r:id="rId22" xr:uid="{ACCB9669-72CD-4FEF-848A-A1510BD39E1E}"/>
    <hyperlink ref="H25" r:id="rId23" xr:uid="{FABFED4D-2B31-4E56-B471-A97218375F74}"/>
    <hyperlink ref="H26" r:id="rId24" xr:uid="{4658395E-708B-493A-AC4E-670E1C8D39A1}"/>
    <hyperlink ref="H27" r:id="rId25" xr:uid="{7223C5F4-9E78-4EDD-98CB-25635128E752}"/>
    <hyperlink ref="H35" r:id="rId26" xr:uid="{57821301-CD09-488C-8772-B41A249F3247}"/>
    <hyperlink ref="H29" r:id="rId27" xr:uid="{D7D32EBB-359B-4F6A-88E6-B5F4D1A977FC}"/>
    <hyperlink ref="H28" r:id="rId28" xr:uid="{83B556BF-178F-4382-A0D8-DC98A0B70DD7}"/>
    <hyperlink ref="H30" r:id="rId29" xr:uid="{222139C5-F666-40A9-87AB-440A374EF8A9}"/>
    <hyperlink ref="H31" r:id="rId30" xr:uid="{BEC9A78A-3B9E-4A79-846A-A44A676B197E}"/>
    <hyperlink ref="H17" r:id="rId31" xr:uid="{616704D6-8816-442F-AFAE-0E5CBAC35080}"/>
  </hyperlinks>
  <pageMargins left="0.25" right="0.25" top="0.75" bottom="0.75" header="0.3" footer="0.3"/>
  <pageSetup scale="71" fitToHeight="0" orientation="landscape" r:id="rId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F7ABE-AB38-426E-92E0-4E290FEB0C02}">
  <dimension ref="A1:I15"/>
  <sheetViews>
    <sheetView topLeftCell="D10" workbookViewId="0">
      <selection activeCell="D20" sqref="D20"/>
    </sheetView>
  </sheetViews>
  <sheetFormatPr baseColWidth="10" defaultRowHeight="14.5" x14ac:dyDescent="0.35"/>
  <cols>
    <col min="1" max="1" width="13.1796875" bestFit="1" customWidth="1"/>
    <col min="2" max="2" width="38.1796875" bestFit="1" customWidth="1"/>
    <col min="3" max="3" width="46.453125" bestFit="1" customWidth="1"/>
    <col min="4" max="4" width="19.453125" bestFit="1" customWidth="1"/>
    <col min="5" max="5" width="19" bestFit="1" customWidth="1"/>
    <col min="6" max="6" width="18.81640625" bestFit="1" customWidth="1"/>
    <col min="7" max="7" width="15.453125" bestFit="1" customWidth="1"/>
    <col min="8" max="8" width="13.453125" bestFit="1" customWidth="1"/>
    <col min="9" max="9" width="6.81640625" bestFit="1" customWidth="1"/>
  </cols>
  <sheetData>
    <row r="1" spans="1:9" x14ac:dyDescent="0.35">
      <c r="A1" s="9" t="s">
        <v>39</v>
      </c>
      <c r="B1" s="10" t="s">
        <v>40</v>
      </c>
      <c r="C1" s="11" t="s">
        <v>41</v>
      </c>
      <c r="D1" s="11" t="s">
        <v>32</v>
      </c>
      <c r="E1" s="10" t="s">
        <v>42</v>
      </c>
      <c r="F1" s="10" t="s">
        <v>43</v>
      </c>
      <c r="G1" s="12" t="s">
        <v>44</v>
      </c>
      <c r="H1" s="12" t="s">
        <v>45</v>
      </c>
      <c r="I1" s="13" t="s">
        <v>46</v>
      </c>
    </row>
    <row r="2" spans="1:9" x14ac:dyDescent="0.35">
      <c r="A2" s="14" t="s">
        <v>47</v>
      </c>
      <c r="B2" s="14" t="s">
        <v>48</v>
      </c>
      <c r="C2" s="14" t="s">
        <v>49</v>
      </c>
      <c r="D2" s="14" t="s">
        <v>0</v>
      </c>
      <c r="E2" s="9" t="s">
        <v>50</v>
      </c>
      <c r="F2" s="14" t="s">
        <v>51</v>
      </c>
      <c r="G2" s="15" t="s">
        <v>52</v>
      </c>
      <c r="H2" s="15"/>
      <c r="I2" s="16" t="s">
        <v>54</v>
      </c>
    </row>
    <row r="3" spans="1:9" x14ac:dyDescent="0.35">
      <c r="A3" s="14" t="s">
        <v>47</v>
      </c>
      <c r="B3" s="14" t="s">
        <v>48</v>
      </c>
      <c r="C3" s="14" t="s">
        <v>49</v>
      </c>
      <c r="D3" s="14" t="s">
        <v>0</v>
      </c>
      <c r="E3" s="14" t="s">
        <v>55</v>
      </c>
      <c r="F3" s="14" t="s">
        <v>51</v>
      </c>
      <c r="G3" s="15"/>
      <c r="H3" s="17">
        <v>2020883</v>
      </c>
      <c r="I3" s="16" t="s">
        <v>54</v>
      </c>
    </row>
    <row r="4" spans="1:9" x14ac:dyDescent="0.35">
      <c r="A4" s="14" t="s">
        <v>56</v>
      </c>
      <c r="B4" s="14" t="s">
        <v>57</v>
      </c>
      <c r="C4" s="14" t="s">
        <v>58</v>
      </c>
      <c r="D4" s="14" t="s">
        <v>0</v>
      </c>
      <c r="E4" s="9" t="s">
        <v>50</v>
      </c>
      <c r="F4" s="18" t="s">
        <v>59</v>
      </c>
      <c r="G4" s="15" t="s">
        <v>60</v>
      </c>
      <c r="H4" s="15"/>
      <c r="I4" s="16" t="s">
        <v>54</v>
      </c>
    </row>
    <row r="5" spans="1:9" x14ac:dyDescent="0.35">
      <c r="A5" s="14" t="s">
        <v>61</v>
      </c>
      <c r="B5" s="14" t="s">
        <v>62</v>
      </c>
      <c r="C5" s="14" t="s">
        <v>63</v>
      </c>
      <c r="D5" s="14" t="s">
        <v>0</v>
      </c>
      <c r="E5" s="9" t="s">
        <v>50</v>
      </c>
      <c r="F5" s="14" t="s">
        <v>64</v>
      </c>
      <c r="G5" s="15" t="s">
        <v>65</v>
      </c>
      <c r="H5" s="15"/>
      <c r="I5" s="16" t="s">
        <v>54</v>
      </c>
    </row>
    <row r="6" spans="1:9" x14ac:dyDescent="0.35">
      <c r="A6" s="14" t="s">
        <v>61</v>
      </c>
      <c r="B6" s="14" t="s">
        <v>62</v>
      </c>
      <c r="C6" s="14" t="s">
        <v>63</v>
      </c>
      <c r="D6" s="14" t="s">
        <v>0</v>
      </c>
      <c r="E6" s="14" t="s">
        <v>55</v>
      </c>
      <c r="F6" s="14" t="s">
        <v>64</v>
      </c>
      <c r="G6" s="15"/>
      <c r="H6" s="17" t="s">
        <v>66</v>
      </c>
      <c r="I6" s="19" t="s">
        <v>67</v>
      </c>
    </row>
    <row r="7" spans="1:9" x14ac:dyDescent="0.35">
      <c r="A7" s="14" t="s">
        <v>68</v>
      </c>
      <c r="B7" s="14" t="s">
        <v>69</v>
      </c>
      <c r="C7" s="14" t="s">
        <v>70</v>
      </c>
      <c r="D7" s="14" t="s">
        <v>0</v>
      </c>
      <c r="E7" s="9" t="s">
        <v>50</v>
      </c>
      <c r="F7" s="18" t="s">
        <v>59</v>
      </c>
      <c r="G7" s="15" t="s">
        <v>71</v>
      </c>
      <c r="H7" s="15"/>
      <c r="I7" s="16" t="s">
        <v>54</v>
      </c>
    </row>
    <row r="8" spans="1:9" x14ac:dyDescent="0.35">
      <c r="A8" s="14" t="s">
        <v>68</v>
      </c>
      <c r="B8" s="14" t="s">
        <v>69</v>
      </c>
      <c r="C8" s="14" t="s">
        <v>70</v>
      </c>
      <c r="D8" s="14" t="s">
        <v>0</v>
      </c>
      <c r="E8" s="14" t="s">
        <v>55</v>
      </c>
      <c r="F8" s="14" t="s">
        <v>59</v>
      </c>
      <c r="G8" s="15"/>
      <c r="H8" s="17" t="s">
        <v>72</v>
      </c>
      <c r="I8" s="16" t="s">
        <v>54</v>
      </c>
    </row>
    <row r="9" spans="1:9" x14ac:dyDescent="0.35">
      <c r="A9" s="14" t="s">
        <v>73</v>
      </c>
      <c r="B9" s="14" t="s">
        <v>74</v>
      </c>
      <c r="C9" s="14" t="s">
        <v>75</v>
      </c>
      <c r="D9" s="14" t="s">
        <v>6</v>
      </c>
      <c r="E9" s="14" t="s">
        <v>55</v>
      </c>
      <c r="F9" s="14" t="s">
        <v>51</v>
      </c>
      <c r="G9" s="15"/>
      <c r="H9" s="20" t="s">
        <v>76</v>
      </c>
      <c r="I9" s="16" t="s">
        <v>54</v>
      </c>
    </row>
    <row r="10" spans="1:9" x14ac:dyDescent="0.35">
      <c r="A10" s="14" t="s">
        <v>77</v>
      </c>
      <c r="B10" s="14" t="s">
        <v>78</v>
      </c>
      <c r="C10" s="14" t="s">
        <v>79</v>
      </c>
      <c r="D10" s="14" t="s">
        <v>6</v>
      </c>
      <c r="E10" s="9" t="s">
        <v>50</v>
      </c>
      <c r="F10" s="18" t="s">
        <v>59</v>
      </c>
      <c r="G10" s="15" t="s">
        <v>80</v>
      </c>
      <c r="H10" s="15"/>
      <c r="I10" s="16" t="s">
        <v>54</v>
      </c>
    </row>
    <row r="11" spans="1:9" x14ac:dyDescent="0.35">
      <c r="A11" s="14" t="s">
        <v>81</v>
      </c>
      <c r="B11" s="14" t="s">
        <v>82</v>
      </c>
      <c r="C11" s="14" t="s">
        <v>83</v>
      </c>
      <c r="D11" s="14" t="s">
        <v>9</v>
      </c>
      <c r="E11" s="9" t="s">
        <v>50</v>
      </c>
      <c r="F11" s="14" t="s">
        <v>64</v>
      </c>
      <c r="G11" s="15" t="s">
        <v>84</v>
      </c>
      <c r="H11" s="15"/>
      <c r="I11" s="16" t="s">
        <v>54</v>
      </c>
    </row>
    <row r="12" spans="1:9" x14ac:dyDescent="0.35">
      <c r="A12" s="14" t="s">
        <v>85</v>
      </c>
      <c r="B12" s="14" t="s">
        <v>86</v>
      </c>
      <c r="C12" s="14" t="s">
        <v>87</v>
      </c>
      <c r="D12" s="14" t="s">
        <v>12</v>
      </c>
      <c r="E12" s="14" t="s">
        <v>55</v>
      </c>
      <c r="F12" s="13"/>
      <c r="G12" s="15"/>
      <c r="H12" s="15" t="s">
        <v>88</v>
      </c>
      <c r="I12" s="19" t="s">
        <v>67</v>
      </c>
    </row>
    <row r="13" spans="1:9" x14ac:dyDescent="0.35">
      <c r="A13" s="14" t="s">
        <v>89</v>
      </c>
      <c r="B13" s="14" t="s">
        <v>90</v>
      </c>
      <c r="C13" s="14" t="s">
        <v>91</v>
      </c>
      <c r="D13" s="14" t="s">
        <v>12</v>
      </c>
      <c r="E13" s="14" t="s">
        <v>55</v>
      </c>
      <c r="F13" s="13"/>
      <c r="G13" s="15"/>
      <c r="H13" s="20" t="s">
        <v>92</v>
      </c>
      <c r="I13" s="19" t="s">
        <v>67</v>
      </c>
    </row>
    <row r="14" spans="1:9" x14ac:dyDescent="0.35">
      <c r="A14" s="14" t="s">
        <v>93</v>
      </c>
      <c r="B14" s="14" t="s">
        <v>94</v>
      </c>
      <c r="C14" s="14" t="s">
        <v>95</v>
      </c>
      <c r="D14" s="14" t="s">
        <v>34</v>
      </c>
      <c r="E14" s="13" t="s">
        <v>50</v>
      </c>
      <c r="F14" s="13"/>
      <c r="G14" s="15" t="s">
        <v>96</v>
      </c>
      <c r="H14" s="15"/>
      <c r="I14" s="16" t="s">
        <v>54</v>
      </c>
    </row>
    <row r="15" spans="1:9" x14ac:dyDescent="0.35">
      <c r="A15" s="14" t="s">
        <v>93</v>
      </c>
      <c r="B15" s="14" t="s">
        <v>94</v>
      </c>
      <c r="C15" s="14" t="s">
        <v>95</v>
      </c>
      <c r="D15" s="14" t="s">
        <v>34</v>
      </c>
      <c r="E15" s="13" t="s">
        <v>55</v>
      </c>
      <c r="F15" s="13"/>
      <c r="G15" s="15"/>
      <c r="H15" s="15" t="s">
        <v>97</v>
      </c>
      <c r="I15" s="16" t="s">
        <v>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C2D1-0A21-431E-BA8C-68536EB27C28}">
  <dimension ref="A1:I15"/>
  <sheetViews>
    <sheetView topLeftCell="C1" workbookViewId="0">
      <selection activeCell="D20" sqref="D20"/>
    </sheetView>
  </sheetViews>
  <sheetFormatPr baseColWidth="10" defaultRowHeight="14.5" x14ac:dyDescent="0.35"/>
  <cols>
    <col min="1" max="1" width="12.26953125" bestFit="1" customWidth="1"/>
    <col min="2" max="2" width="43.1796875" bestFit="1" customWidth="1"/>
    <col min="3" max="3" width="41.81640625" bestFit="1" customWidth="1"/>
    <col min="4" max="4" width="24.1796875" bestFit="1" customWidth="1"/>
    <col min="5" max="6" width="19.1796875" bestFit="1" customWidth="1"/>
    <col min="7" max="7" width="15.453125" bestFit="1" customWidth="1"/>
    <col min="8" max="8" width="13.453125" bestFit="1" customWidth="1"/>
    <col min="9" max="9" width="6.81640625" bestFit="1" customWidth="1"/>
  </cols>
  <sheetData>
    <row r="1" spans="1:9" ht="15" thickBot="1" x14ac:dyDescent="0.4">
      <c r="A1" s="21" t="s">
        <v>39</v>
      </c>
      <c r="B1" s="22" t="s">
        <v>40</v>
      </c>
      <c r="C1" s="2" t="s">
        <v>41</v>
      </c>
      <c r="D1" s="2" t="s">
        <v>32</v>
      </c>
      <c r="E1" s="22" t="s">
        <v>42</v>
      </c>
      <c r="F1" s="22" t="s">
        <v>43</v>
      </c>
      <c r="G1" s="2" t="s">
        <v>44</v>
      </c>
      <c r="H1" s="2" t="s">
        <v>45</v>
      </c>
      <c r="I1" s="22" t="s">
        <v>46</v>
      </c>
    </row>
    <row r="2" spans="1:9" ht="15" thickBot="1" x14ac:dyDescent="0.4">
      <c r="A2" s="3" t="s">
        <v>98</v>
      </c>
      <c r="B2" s="4" t="s">
        <v>99</v>
      </c>
      <c r="C2" s="4" t="s">
        <v>100</v>
      </c>
      <c r="D2" s="4" t="s">
        <v>11</v>
      </c>
      <c r="E2" s="8" t="s">
        <v>55</v>
      </c>
      <c r="F2" s="8"/>
      <c r="G2" s="8"/>
      <c r="H2" s="23">
        <v>2073198</v>
      </c>
      <c r="I2" s="24" t="s">
        <v>67</v>
      </c>
    </row>
    <row r="3" spans="1:9" ht="15" thickBot="1" x14ac:dyDescent="0.4">
      <c r="A3" s="3" t="s">
        <v>101</v>
      </c>
      <c r="B3" s="4" t="s">
        <v>102</v>
      </c>
      <c r="C3" s="4" t="s">
        <v>103</v>
      </c>
      <c r="D3" s="4" t="s">
        <v>5</v>
      </c>
      <c r="E3" s="8" t="s">
        <v>50</v>
      </c>
      <c r="F3" s="4" t="s">
        <v>53</v>
      </c>
      <c r="G3" s="25" t="s">
        <v>104</v>
      </c>
      <c r="H3" s="5"/>
      <c r="I3" s="26" t="s">
        <v>54</v>
      </c>
    </row>
    <row r="4" spans="1:9" ht="15" thickBot="1" x14ac:dyDescent="0.4">
      <c r="A4" s="3" t="s">
        <v>101</v>
      </c>
      <c r="B4" s="4" t="s">
        <v>102</v>
      </c>
      <c r="C4" s="4" t="s">
        <v>103</v>
      </c>
      <c r="D4" s="4" t="s">
        <v>5</v>
      </c>
      <c r="E4" s="8" t="s">
        <v>55</v>
      </c>
      <c r="F4" s="4" t="s">
        <v>105</v>
      </c>
      <c r="G4" s="5"/>
      <c r="H4" s="5" t="s">
        <v>106</v>
      </c>
      <c r="I4" s="24" t="s">
        <v>67</v>
      </c>
    </row>
    <row r="5" spans="1:9" ht="15" thickBot="1" x14ac:dyDescent="0.4">
      <c r="A5" s="3" t="s">
        <v>107</v>
      </c>
      <c r="B5" s="4" t="s">
        <v>108</v>
      </c>
      <c r="C5" s="4" t="s">
        <v>109</v>
      </c>
      <c r="D5" s="4" t="s">
        <v>7</v>
      </c>
      <c r="E5" s="8" t="s">
        <v>50</v>
      </c>
      <c r="F5" s="4" t="s">
        <v>105</v>
      </c>
      <c r="G5" s="25" t="s">
        <v>110</v>
      </c>
      <c r="H5" s="5"/>
      <c r="I5" s="26" t="s">
        <v>54</v>
      </c>
    </row>
    <row r="6" spans="1:9" ht="15" thickBot="1" x14ac:dyDescent="0.4">
      <c r="A6" s="3" t="s">
        <v>107</v>
      </c>
      <c r="B6" s="4" t="s">
        <v>108</v>
      </c>
      <c r="C6" s="4" t="s">
        <v>109</v>
      </c>
      <c r="D6" s="4" t="s">
        <v>7</v>
      </c>
      <c r="E6" s="8" t="s">
        <v>55</v>
      </c>
      <c r="F6" s="4" t="s">
        <v>105</v>
      </c>
      <c r="G6" s="25" t="s">
        <v>110</v>
      </c>
      <c r="H6" s="5"/>
      <c r="I6" s="24" t="s">
        <v>67</v>
      </c>
    </row>
    <row r="7" spans="1:9" ht="15" thickBot="1" x14ac:dyDescent="0.4">
      <c r="A7" s="27" t="s">
        <v>111</v>
      </c>
      <c r="B7" s="4" t="s">
        <v>112</v>
      </c>
      <c r="C7" s="4" t="s">
        <v>113</v>
      </c>
      <c r="D7" s="4" t="s">
        <v>7</v>
      </c>
      <c r="E7" s="8" t="s">
        <v>50</v>
      </c>
      <c r="F7" s="6" t="s">
        <v>53</v>
      </c>
      <c r="G7" s="28" t="s">
        <v>114</v>
      </c>
      <c r="H7" s="5"/>
      <c r="I7" s="26" t="s">
        <v>54</v>
      </c>
    </row>
    <row r="8" spans="1:9" ht="15" thickBot="1" x14ac:dyDescent="0.4">
      <c r="A8" s="27" t="s">
        <v>111</v>
      </c>
      <c r="B8" s="4" t="s">
        <v>112</v>
      </c>
      <c r="C8" s="4" t="s">
        <v>113</v>
      </c>
      <c r="D8" s="4" t="s">
        <v>7</v>
      </c>
      <c r="E8" s="8" t="s">
        <v>55</v>
      </c>
      <c r="F8" s="4" t="s">
        <v>115</v>
      </c>
      <c r="G8" s="5"/>
      <c r="H8" s="29">
        <v>2110268</v>
      </c>
      <c r="I8" s="26" t="s">
        <v>54</v>
      </c>
    </row>
    <row r="9" spans="1:9" ht="15" thickBot="1" x14ac:dyDescent="0.4">
      <c r="A9" s="3" t="s">
        <v>116</v>
      </c>
      <c r="B9" s="4" t="s">
        <v>117</v>
      </c>
      <c r="C9" s="4" t="s">
        <v>118</v>
      </c>
      <c r="D9" s="4" t="s">
        <v>5</v>
      </c>
      <c r="E9" s="4" t="s">
        <v>50</v>
      </c>
      <c r="F9" s="6" t="s">
        <v>64</v>
      </c>
      <c r="G9" s="5" t="s">
        <v>119</v>
      </c>
      <c r="H9" s="29"/>
      <c r="I9" s="26" t="s">
        <v>54</v>
      </c>
    </row>
    <row r="10" spans="1:9" ht="15" thickBot="1" x14ac:dyDescent="0.4">
      <c r="A10" s="3" t="s">
        <v>120</v>
      </c>
      <c r="B10" s="4" t="s">
        <v>121</v>
      </c>
      <c r="C10" s="4" t="s">
        <v>122</v>
      </c>
      <c r="D10" s="4" t="s">
        <v>5</v>
      </c>
      <c r="E10" s="4" t="s">
        <v>50</v>
      </c>
      <c r="F10" s="6" t="s">
        <v>64</v>
      </c>
      <c r="G10" s="5" t="s">
        <v>123</v>
      </c>
      <c r="H10" s="29"/>
      <c r="I10" s="26" t="s">
        <v>54</v>
      </c>
    </row>
    <row r="11" spans="1:9" ht="15" thickBot="1" x14ac:dyDescent="0.4">
      <c r="A11" s="3" t="s">
        <v>124</v>
      </c>
      <c r="B11" s="4" t="s">
        <v>125</v>
      </c>
      <c r="C11" s="4" t="s">
        <v>126</v>
      </c>
      <c r="D11" s="4" t="s">
        <v>5</v>
      </c>
      <c r="E11" s="4" t="s">
        <v>50</v>
      </c>
      <c r="F11" s="6" t="s">
        <v>59</v>
      </c>
      <c r="G11" s="5" t="s">
        <v>127</v>
      </c>
      <c r="H11" s="29"/>
      <c r="I11" s="26" t="s">
        <v>54</v>
      </c>
    </row>
    <row r="12" spans="1:9" ht="15" thickBot="1" x14ac:dyDescent="0.4">
      <c r="A12" s="3" t="s">
        <v>128</v>
      </c>
      <c r="B12" s="4" t="s">
        <v>129</v>
      </c>
      <c r="C12" s="4" t="s">
        <v>130</v>
      </c>
      <c r="D12" s="4" t="s">
        <v>7</v>
      </c>
      <c r="E12" s="8" t="s">
        <v>50</v>
      </c>
      <c r="F12" s="4" t="s">
        <v>131</v>
      </c>
      <c r="G12" s="5" t="s">
        <v>132</v>
      </c>
      <c r="H12" s="29"/>
      <c r="I12" s="26" t="s">
        <v>54</v>
      </c>
    </row>
    <row r="13" spans="1:9" ht="15" thickBot="1" x14ac:dyDescent="0.4">
      <c r="A13" s="3" t="s">
        <v>128</v>
      </c>
      <c r="B13" s="4" t="s">
        <v>129</v>
      </c>
      <c r="C13" s="4" t="s">
        <v>130</v>
      </c>
      <c r="D13" s="4" t="s">
        <v>7</v>
      </c>
      <c r="E13" s="8" t="s">
        <v>55</v>
      </c>
      <c r="F13" s="8" t="s">
        <v>131</v>
      </c>
      <c r="G13" s="5"/>
      <c r="H13" s="29" t="s">
        <v>133</v>
      </c>
      <c r="I13" s="26" t="s">
        <v>54</v>
      </c>
    </row>
    <row r="14" spans="1:9" ht="15" thickBot="1" x14ac:dyDescent="0.4">
      <c r="A14" s="3" t="s">
        <v>134</v>
      </c>
      <c r="B14" s="4" t="s">
        <v>135</v>
      </c>
      <c r="C14" s="4" t="s">
        <v>136</v>
      </c>
      <c r="D14" s="4" t="s">
        <v>7</v>
      </c>
      <c r="E14" s="8" t="s">
        <v>50</v>
      </c>
      <c r="F14" s="6" t="s">
        <v>64</v>
      </c>
      <c r="G14" s="5" t="s">
        <v>137</v>
      </c>
      <c r="H14" s="29"/>
      <c r="I14" s="24" t="s">
        <v>67</v>
      </c>
    </row>
    <row r="15" spans="1:9" ht="15" thickBot="1" x14ac:dyDescent="0.4">
      <c r="A15" s="3" t="s">
        <v>138</v>
      </c>
      <c r="B15" s="4" t="s">
        <v>139</v>
      </c>
      <c r="C15" s="4" t="s">
        <v>140</v>
      </c>
      <c r="D15" s="4" t="s">
        <v>7</v>
      </c>
      <c r="E15" s="8" t="s">
        <v>50</v>
      </c>
      <c r="F15" s="26" t="s">
        <v>141</v>
      </c>
      <c r="G15" s="7">
        <v>2020885</v>
      </c>
      <c r="H15" s="29"/>
      <c r="I15" s="26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D691-AE1F-46CD-ACF4-5CBE0EACCE6A}">
  <dimension ref="A1:M23"/>
  <sheetViews>
    <sheetView topLeftCell="B1" workbookViewId="0">
      <selection activeCell="D20" sqref="D20"/>
    </sheetView>
  </sheetViews>
  <sheetFormatPr baseColWidth="10" defaultRowHeight="14.5" x14ac:dyDescent="0.35"/>
  <cols>
    <col min="1" max="1" width="0" hidden="1" customWidth="1"/>
    <col min="2" max="2" width="25.453125" bestFit="1" customWidth="1"/>
    <col min="8" max="8" width="11.81640625" bestFit="1" customWidth="1"/>
    <col min="9" max="9" width="12.54296875" bestFit="1" customWidth="1"/>
    <col min="12" max="12" width="17.453125" bestFit="1" customWidth="1"/>
  </cols>
  <sheetData>
    <row r="1" spans="1:13" x14ac:dyDescent="0.35">
      <c r="B1" s="30"/>
      <c r="C1" s="30"/>
      <c r="D1" s="30"/>
      <c r="E1" s="30"/>
      <c r="F1" s="31" t="s">
        <v>142</v>
      </c>
      <c r="G1" s="31" t="s">
        <v>143</v>
      </c>
      <c r="H1" s="31" t="s">
        <v>144</v>
      </c>
      <c r="I1" s="31" t="s">
        <v>145</v>
      </c>
      <c r="J1" s="31" t="s">
        <v>146</v>
      </c>
      <c r="K1" s="31" t="s">
        <v>147</v>
      </c>
      <c r="L1" s="31" t="s">
        <v>148</v>
      </c>
      <c r="M1" s="31" t="s">
        <v>149</v>
      </c>
    </row>
    <row r="2" spans="1:13" x14ac:dyDescent="0.35">
      <c r="B2" s="30"/>
      <c r="C2" s="30"/>
      <c r="D2" s="30"/>
      <c r="E2" s="30"/>
      <c r="F2" s="31">
        <v>1440</v>
      </c>
      <c r="G2" s="31">
        <v>1440</v>
      </c>
      <c r="H2" s="31">
        <v>800</v>
      </c>
      <c r="I2" s="31">
        <v>480</v>
      </c>
      <c r="J2" s="31">
        <v>640</v>
      </c>
      <c r="K2" s="31">
        <v>2960</v>
      </c>
      <c r="L2" s="31">
        <v>1280</v>
      </c>
      <c r="M2" s="31">
        <v>1760</v>
      </c>
    </row>
    <row r="3" spans="1:13" x14ac:dyDescent="0.35">
      <c r="B3" s="30"/>
      <c r="C3" s="30"/>
      <c r="D3" s="30"/>
      <c r="E3" s="30"/>
      <c r="F3" s="32">
        <v>1800</v>
      </c>
      <c r="G3" s="32">
        <v>1800</v>
      </c>
      <c r="H3" s="32">
        <v>1000</v>
      </c>
      <c r="I3" s="32">
        <v>600</v>
      </c>
      <c r="J3" s="32">
        <v>800</v>
      </c>
      <c r="K3" s="32">
        <v>3700</v>
      </c>
      <c r="L3" s="32">
        <v>1600</v>
      </c>
      <c r="M3" s="32">
        <v>2200</v>
      </c>
    </row>
    <row r="4" spans="1:13" x14ac:dyDescent="0.35">
      <c r="A4" t="s">
        <v>153</v>
      </c>
      <c r="B4" s="31" t="s">
        <v>150</v>
      </c>
      <c r="C4" s="31" t="s">
        <v>151</v>
      </c>
      <c r="D4" s="33">
        <v>0.8</v>
      </c>
      <c r="E4" s="34"/>
      <c r="F4" s="35"/>
      <c r="G4" s="35"/>
      <c r="H4" s="35"/>
      <c r="I4" s="35"/>
      <c r="J4" s="35"/>
      <c r="K4" s="35"/>
      <c r="L4" s="35"/>
      <c r="M4" s="35"/>
    </row>
    <row r="5" spans="1:13" x14ac:dyDescent="0.35">
      <c r="A5">
        <v>1</v>
      </c>
      <c r="B5" s="41" t="s">
        <v>9</v>
      </c>
      <c r="C5" s="42">
        <v>233</v>
      </c>
      <c r="D5" s="42">
        <f t="shared" ref="D5:D23" si="0">C5*$D$4</f>
        <v>186.4</v>
      </c>
      <c r="E5" s="43">
        <f t="shared" ref="E5:E23" si="1">D5/$D$23</f>
        <v>5.8483935742971886E-2</v>
      </c>
      <c r="F5" s="40">
        <f t="shared" ref="F5:M14" si="2">$E5*F$2</f>
        <v>84.216867469879517</v>
      </c>
      <c r="G5" s="40">
        <f t="shared" si="2"/>
        <v>84.216867469879517</v>
      </c>
      <c r="H5" s="40">
        <f t="shared" si="2"/>
        <v>46.787148594377506</v>
      </c>
      <c r="I5" s="40">
        <f t="shared" si="2"/>
        <v>28.072289156626507</v>
      </c>
      <c r="J5" s="40">
        <f t="shared" si="2"/>
        <v>37.429718875502004</v>
      </c>
      <c r="K5" s="40">
        <f t="shared" si="2"/>
        <v>173.11244979919678</v>
      </c>
      <c r="L5" s="40">
        <f t="shared" si="2"/>
        <v>74.859437751004009</v>
      </c>
      <c r="M5" s="40">
        <f t="shared" si="2"/>
        <v>102.93172690763052</v>
      </c>
    </row>
    <row r="6" spans="1:13" x14ac:dyDescent="0.35">
      <c r="A6">
        <v>2</v>
      </c>
      <c r="B6" s="41" t="s">
        <v>6</v>
      </c>
      <c r="C6" s="42">
        <v>228</v>
      </c>
      <c r="D6" s="42">
        <f t="shared" si="0"/>
        <v>182.4</v>
      </c>
      <c r="E6" s="43">
        <f t="shared" si="1"/>
        <v>5.7228915662650599E-2</v>
      </c>
      <c r="F6" s="40">
        <f t="shared" si="2"/>
        <v>82.409638554216869</v>
      </c>
      <c r="G6" s="40">
        <f t="shared" si="2"/>
        <v>82.409638554216869</v>
      </c>
      <c r="H6" s="40">
        <f t="shared" si="2"/>
        <v>45.783132530120483</v>
      </c>
      <c r="I6" s="40">
        <f t="shared" si="2"/>
        <v>27.469879518072286</v>
      </c>
      <c r="J6" s="40">
        <f t="shared" si="2"/>
        <v>36.626506024096386</v>
      </c>
      <c r="K6" s="40">
        <f t="shared" si="2"/>
        <v>169.39759036144576</v>
      </c>
      <c r="L6" s="40">
        <f t="shared" si="2"/>
        <v>73.253012048192772</v>
      </c>
      <c r="M6" s="40">
        <f t="shared" si="2"/>
        <v>100.72289156626505</v>
      </c>
    </row>
    <row r="7" spans="1:13" x14ac:dyDescent="0.35">
      <c r="A7">
        <v>3</v>
      </c>
      <c r="B7" s="36" t="s">
        <v>12</v>
      </c>
      <c r="C7" s="31">
        <v>226</v>
      </c>
      <c r="D7" s="31">
        <f t="shared" si="0"/>
        <v>180.8</v>
      </c>
      <c r="E7" s="37">
        <f t="shared" si="1"/>
        <v>5.6726907630522086E-2</v>
      </c>
      <c r="F7" s="40">
        <f t="shared" si="2"/>
        <v>81.686746987951807</v>
      </c>
      <c r="G7" s="40">
        <f t="shared" si="2"/>
        <v>81.686746987951807</v>
      </c>
      <c r="H7" s="40">
        <f t="shared" si="2"/>
        <v>45.381526104417667</v>
      </c>
      <c r="I7" s="40">
        <f t="shared" si="2"/>
        <v>27.2289156626506</v>
      </c>
      <c r="J7" s="40">
        <f t="shared" si="2"/>
        <v>36.305220883534133</v>
      </c>
      <c r="K7" s="40">
        <f t="shared" si="2"/>
        <v>167.91164658634537</v>
      </c>
      <c r="L7" s="40">
        <f t="shared" si="2"/>
        <v>72.610441767068266</v>
      </c>
      <c r="M7" s="40">
        <f t="shared" si="2"/>
        <v>99.839357429718874</v>
      </c>
    </row>
    <row r="8" spans="1:13" x14ac:dyDescent="0.35">
      <c r="A8">
        <v>4</v>
      </c>
      <c r="B8" s="36" t="s">
        <v>0</v>
      </c>
      <c r="C8" s="31">
        <v>243</v>
      </c>
      <c r="D8" s="31">
        <f t="shared" si="0"/>
        <v>194.4</v>
      </c>
      <c r="E8" s="37">
        <f t="shared" si="1"/>
        <v>6.0993975903614453E-2</v>
      </c>
      <c r="F8" s="40">
        <f t="shared" si="2"/>
        <v>87.831325301204814</v>
      </c>
      <c r="G8" s="40">
        <f t="shared" si="2"/>
        <v>87.831325301204814</v>
      </c>
      <c r="H8" s="40">
        <f t="shared" si="2"/>
        <v>48.795180722891565</v>
      </c>
      <c r="I8" s="40">
        <f t="shared" si="2"/>
        <v>29.277108433734938</v>
      </c>
      <c r="J8" s="40">
        <f t="shared" si="2"/>
        <v>39.036144578313248</v>
      </c>
      <c r="K8" s="40">
        <f t="shared" si="2"/>
        <v>180.54216867469879</v>
      </c>
      <c r="L8" s="40">
        <f t="shared" si="2"/>
        <v>78.072289156626496</v>
      </c>
      <c r="M8" s="40">
        <f t="shared" si="2"/>
        <v>107.34939759036143</v>
      </c>
    </row>
    <row r="9" spans="1:13" x14ac:dyDescent="0.35">
      <c r="A9">
        <v>5</v>
      </c>
      <c r="B9" s="36" t="s">
        <v>8</v>
      </c>
      <c r="C9" s="31">
        <v>247</v>
      </c>
      <c r="D9" s="31">
        <f t="shared" si="0"/>
        <v>197.60000000000002</v>
      </c>
      <c r="E9" s="37">
        <f t="shared" si="1"/>
        <v>6.1997991967871487E-2</v>
      </c>
      <c r="F9" s="40">
        <f t="shared" si="2"/>
        <v>89.277108433734938</v>
      </c>
      <c r="G9" s="40">
        <f t="shared" si="2"/>
        <v>89.277108433734938</v>
      </c>
      <c r="H9" s="40">
        <f t="shared" si="2"/>
        <v>49.598393574297191</v>
      </c>
      <c r="I9" s="40">
        <f t="shared" si="2"/>
        <v>29.759036144578314</v>
      </c>
      <c r="J9" s="40">
        <f t="shared" si="2"/>
        <v>39.678714859437754</v>
      </c>
      <c r="K9" s="40">
        <f t="shared" si="2"/>
        <v>183.5140562248996</v>
      </c>
      <c r="L9" s="40">
        <f t="shared" si="2"/>
        <v>79.357429718875508</v>
      </c>
      <c r="M9" s="40">
        <f t="shared" si="2"/>
        <v>109.11646586345381</v>
      </c>
    </row>
    <row r="10" spans="1:13" x14ac:dyDescent="0.35">
      <c r="A10">
        <v>6</v>
      </c>
      <c r="B10" s="36" t="s">
        <v>13</v>
      </c>
      <c r="C10" s="31">
        <v>238</v>
      </c>
      <c r="D10" s="31">
        <f t="shared" si="0"/>
        <v>190.4</v>
      </c>
      <c r="E10" s="37">
        <f t="shared" si="1"/>
        <v>5.9738955823293166E-2</v>
      </c>
      <c r="F10" s="40">
        <f t="shared" si="2"/>
        <v>86.024096385542165</v>
      </c>
      <c r="G10" s="40">
        <f t="shared" si="2"/>
        <v>86.024096385542165</v>
      </c>
      <c r="H10" s="40">
        <f t="shared" si="2"/>
        <v>47.791164658634536</v>
      </c>
      <c r="I10" s="40">
        <f t="shared" si="2"/>
        <v>28.674698795180721</v>
      </c>
      <c r="J10" s="40">
        <f t="shared" si="2"/>
        <v>38.232931726907623</v>
      </c>
      <c r="K10" s="40">
        <f t="shared" si="2"/>
        <v>176.82730923694777</v>
      </c>
      <c r="L10" s="40">
        <f t="shared" si="2"/>
        <v>76.465863453815246</v>
      </c>
      <c r="M10" s="40">
        <f t="shared" si="2"/>
        <v>105.14056224899598</v>
      </c>
    </row>
    <row r="11" spans="1:13" x14ac:dyDescent="0.35">
      <c r="A11">
        <v>7</v>
      </c>
      <c r="B11" s="36" t="s">
        <v>1</v>
      </c>
      <c r="C11" s="31">
        <v>231</v>
      </c>
      <c r="D11" s="31">
        <f t="shared" si="0"/>
        <v>184.8</v>
      </c>
      <c r="E11" s="37">
        <f t="shared" si="1"/>
        <v>5.7981927710843373E-2</v>
      </c>
      <c r="F11" s="40">
        <f t="shared" si="2"/>
        <v>83.493975903614455</v>
      </c>
      <c r="G11" s="40">
        <f t="shared" si="2"/>
        <v>83.493975903614455</v>
      </c>
      <c r="H11" s="40">
        <f t="shared" si="2"/>
        <v>46.385542168674696</v>
      </c>
      <c r="I11" s="40">
        <f t="shared" si="2"/>
        <v>27.831325301204821</v>
      </c>
      <c r="J11" s="40">
        <f t="shared" si="2"/>
        <v>37.108433734939759</v>
      </c>
      <c r="K11" s="40">
        <f t="shared" si="2"/>
        <v>171.62650602409639</v>
      </c>
      <c r="L11" s="40">
        <f t="shared" si="2"/>
        <v>74.216867469879517</v>
      </c>
      <c r="M11" s="40">
        <f t="shared" si="2"/>
        <v>102.04819277108433</v>
      </c>
    </row>
    <row r="12" spans="1:13" x14ac:dyDescent="0.35">
      <c r="A12">
        <v>8</v>
      </c>
      <c r="B12" s="36" t="s">
        <v>3</v>
      </c>
      <c r="C12" s="31">
        <v>246</v>
      </c>
      <c r="D12" s="31">
        <f t="shared" si="0"/>
        <v>196.8</v>
      </c>
      <c r="E12" s="37">
        <f t="shared" si="1"/>
        <v>6.1746987951807226E-2</v>
      </c>
      <c r="F12" s="40">
        <f t="shared" si="2"/>
        <v>88.9156626506024</v>
      </c>
      <c r="G12" s="40">
        <f t="shared" si="2"/>
        <v>88.9156626506024</v>
      </c>
      <c r="H12" s="40">
        <f t="shared" si="2"/>
        <v>49.397590361445779</v>
      </c>
      <c r="I12" s="40">
        <f t="shared" si="2"/>
        <v>29.638554216867469</v>
      </c>
      <c r="J12" s="40">
        <f t="shared" si="2"/>
        <v>39.518072289156628</v>
      </c>
      <c r="K12" s="40">
        <f t="shared" si="2"/>
        <v>182.77108433734938</v>
      </c>
      <c r="L12" s="40">
        <f t="shared" si="2"/>
        <v>79.036144578313255</v>
      </c>
      <c r="M12" s="40">
        <f t="shared" si="2"/>
        <v>108.67469879518072</v>
      </c>
    </row>
    <row r="13" spans="1:13" x14ac:dyDescent="0.35">
      <c r="A13">
        <v>9</v>
      </c>
      <c r="B13" s="36" t="s">
        <v>10</v>
      </c>
      <c r="C13" s="31">
        <v>225</v>
      </c>
      <c r="D13" s="31">
        <f t="shared" si="0"/>
        <v>180</v>
      </c>
      <c r="E13" s="37">
        <f t="shared" si="1"/>
        <v>5.6475903614457826E-2</v>
      </c>
      <c r="F13" s="38">
        <f t="shared" si="2"/>
        <v>81.325301204819269</v>
      </c>
      <c r="G13" s="38">
        <f t="shared" si="2"/>
        <v>81.325301204819269</v>
      </c>
      <c r="H13" s="38">
        <f t="shared" si="2"/>
        <v>45.180722891566262</v>
      </c>
      <c r="I13" s="38">
        <f t="shared" si="2"/>
        <v>27.108433734939755</v>
      </c>
      <c r="J13" s="38">
        <f t="shared" si="2"/>
        <v>36.144578313253007</v>
      </c>
      <c r="K13" s="38">
        <f t="shared" si="2"/>
        <v>167.16867469879517</v>
      </c>
      <c r="L13" s="38">
        <f t="shared" si="2"/>
        <v>72.289156626506013</v>
      </c>
      <c r="M13" s="38">
        <f t="shared" si="2"/>
        <v>99.397590361445779</v>
      </c>
    </row>
    <row r="14" spans="1:13" x14ac:dyDescent="0.35">
      <c r="A14">
        <v>10</v>
      </c>
      <c r="B14" s="36" t="s">
        <v>4</v>
      </c>
      <c r="C14" s="31">
        <v>241</v>
      </c>
      <c r="D14" s="31">
        <f t="shared" si="0"/>
        <v>192.8</v>
      </c>
      <c r="E14" s="37">
        <f t="shared" si="1"/>
        <v>6.049196787148594E-2</v>
      </c>
      <c r="F14" s="38">
        <f t="shared" si="2"/>
        <v>87.108433734939752</v>
      </c>
      <c r="G14" s="38">
        <f t="shared" si="2"/>
        <v>87.108433734939752</v>
      </c>
      <c r="H14" s="38">
        <f t="shared" si="2"/>
        <v>48.393574297188749</v>
      </c>
      <c r="I14" s="38">
        <f t="shared" si="2"/>
        <v>29.036144578313252</v>
      </c>
      <c r="J14" s="38">
        <f t="shared" si="2"/>
        <v>38.714859437751002</v>
      </c>
      <c r="K14" s="38">
        <f t="shared" si="2"/>
        <v>179.05622489959839</v>
      </c>
      <c r="L14" s="38">
        <f t="shared" si="2"/>
        <v>77.429718875502004</v>
      </c>
      <c r="M14" s="38">
        <f t="shared" si="2"/>
        <v>106.46586345381526</v>
      </c>
    </row>
    <row r="15" spans="1:13" x14ac:dyDescent="0.35">
      <c r="A15">
        <v>11</v>
      </c>
      <c r="B15" s="36" t="s">
        <v>14</v>
      </c>
      <c r="C15" s="31">
        <v>242</v>
      </c>
      <c r="D15" s="31">
        <f t="shared" si="0"/>
        <v>193.60000000000002</v>
      </c>
      <c r="E15" s="37">
        <f t="shared" si="1"/>
        <v>6.07429718875502E-2</v>
      </c>
      <c r="F15" s="38">
        <f t="shared" ref="F15:M23" si="3">$E15*F$2</f>
        <v>87.46987951807229</v>
      </c>
      <c r="G15" s="38">
        <f t="shared" si="3"/>
        <v>87.46987951807229</v>
      </c>
      <c r="H15" s="38">
        <f t="shared" si="3"/>
        <v>48.594377510040161</v>
      </c>
      <c r="I15" s="38">
        <f t="shared" si="3"/>
        <v>29.156626506024097</v>
      </c>
      <c r="J15" s="38">
        <f t="shared" si="3"/>
        <v>38.875502008032129</v>
      </c>
      <c r="K15" s="38">
        <f t="shared" si="3"/>
        <v>179.79919678714859</v>
      </c>
      <c r="L15" s="38">
        <f t="shared" si="3"/>
        <v>77.751004016064257</v>
      </c>
      <c r="M15" s="38">
        <f t="shared" si="3"/>
        <v>106.90763052208835</v>
      </c>
    </row>
    <row r="16" spans="1:13" x14ac:dyDescent="0.35">
      <c r="A16">
        <v>12</v>
      </c>
      <c r="B16" s="36" t="s">
        <v>7</v>
      </c>
      <c r="C16" s="31">
        <v>248</v>
      </c>
      <c r="D16" s="31">
        <f t="shared" si="0"/>
        <v>198.4</v>
      </c>
      <c r="E16" s="37">
        <f t="shared" si="1"/>
        <v>6.224899598393574E-2</v>
      </c>
      <c r="F16" s="38">
        <f t="shared" si="3"/>
        <v>89.638554216867462</v>
      </c>
      <c r="G16" s="38">
        <f t="shared" si="3"/>
        <v>89.638554216867462</v>
      </c>
      <c r="H16" s="38">
        <f t="shared" si="3"/>
        <v>49.799196787148588</v>
      </c>
      <c r="I16" s="38">
        <f t="shared" si="3"/>
        <v>29.879518072289155</v>
      </c>
      <c r="J16" s="38">
        <f t="shared" si="3"/>
        <v>39.839357429718874</v>
      </c>
      <c r="K16" s="38">
        <f t="shared" si="3"/>
        <v>184.2570281124498</v>
      </c>
      <c r="L16" s="38">
        <f t="shared" si="3"/>
        <v>79.678714859437747</v>
      </c>
      <c r="M16" s="38">
        <f t="shared" si="3"/>
        <v>109.55823293172691</v>
      </c>
    </row>
    <row r="17" spans="1:13" x14ac:dyDescent="0.35">
      <c r="A17">
        <v>13</v>
      </c>
      <c r="B17" s="36" t="s">
        <v>5</v>
      </c>
      <c r="C17" s="31">
        <v>223</v>
      </c>
      <c r="D17" s="31">
        <f t="shared" si="0"/>
        <v>178.4</v>
      </c>
      <c r="E17" s="37">
        <f t="shared" si="1"/>
        <v>5.5973895582329312E-2</v>
      </c>
      <c r="F17" s="38">
        <f t="shared" si="3"/>
        <v>80.602409638554207</v>
      </c>
      <c r="G17" s="38">
        <f t="shared" si="3"/>
        <v>80.602409638554207</v>
      </c>
      <c r="H17" s="38">
        <f t="shared" si="3"/>
        <v>44.779116465863453</v>
      </c>
      <c r="I17" s="38">
        <f t="shared" si="3"/>
        <v>26.867469879518069</v>
      </c>
      <c r="J17" s="38">
        <f t="shared" si="3"/>
        <v>35.823293172690761</v>
      </c>
      <c r="K17" s="38">
        <f t="shared" si="3"/>
        <v>165.68273092369478</v>
      </c>
      <c r="L17" s="38">
        <f t="shared" si="3"/>
        <v>71.646586345381522</v>
      </c>
      <c r="M17" s="38">
        <f t="shared" si="3"/>
        <v>98.514056224899591</v>
      </c>
    </row>
    <row r="18" spans="1:13" x14ac:dyDescent="0.35">
      <c r="A18">
        <v>14</v>
      </c>
      <c r="B18" s="36" t="s">
        <v>2</v>
      </c>
      <c r="C18" s="31">
        <v>233</v>
      </c>
      <c r="D18" s="31">
        <f t="shared" si="0"/>
        <v>186.4</v>
      </c>
      <c r="E18" s="37">
        <f t="shared" si="1"/>
        <v>5.8483935742971886E-2</v>
      </c>
      <c r="F18" s="38">
        <f t="shared" si="3"/>
        <v>84.216867469879517</v>
      </c>
      <c r="G18" s="38">
        <f t="shared" si="3"/>
        <v>84.216867469879517</v>
      </c>
      <c r="H18" s="38">
        <f t="shared" si="3"/>
        <v>46.787148594377506</v>
      </c>
      <c r="I18" s="38">
        <f t="shared" si="3"/>
        <v>28.072289156626507</v>
      </c>
      <c r="J18" s="38">
        <f t="shared" si="3"/>
        <v>37.429718875502004</v>
      </c>
      <c r="K18" s="38">
        <f t="shared" si="3"/>
        <v>173.11244979919678</v>
      </c>
      <c r="L18" s="38">
        <f t="shared" si="3"/>
        <v>74.859437751004009</v>
      </c>
      <c r="M18" s="38">
        <f t="shared" si="3"/>
        <v>102.93172690763052</v>
      </c>
    </row>
    <row r="19" spans="1:13" x14ac:dyDescent="0.35">
      <c r="A19">
        <v>15</v>
      </c>
      <c r="B19" s="36" t="s">
        <v>34</v>
      </c>
      <c r="C19" s="31">
        <v>104</v>
      </c>
      <c r="D19" s="31">
        <f t="shared" si="0"/>
        <v>83.2</v>
      </c>
      <c r="E19" s="37">
        <f t="shared" si="1"/>
        <v>2.6104417670682729E-2</v>
      </c>
      <c r="F19" s="38">
        <f t="shared" si="3"/>
        <v>37.590361445783131</v>
      </c>
      <c r="G19" s="38">
        <f t="shared" si="3"/>
        <v>37.590361445783131</v>
      </c>
      <c r="H19" s="38">
        <f t="shared" si="3"/>
        <v>20.883534136546185</v>
      </c>
      <c r="I19" s="38">
        <f t="shared" si="3"/>
        <v>12.53012048192771</v>
      </c>
      <c r="J19" s="38">
        <f t="shared" si="3"/>
        <v>16.706827309236946</v>
      </c>
      <c r="K19" s="38">
        <f t="shared" si="3"/>
        <v>77.269076305220878</v>
      </c>
      <c r="L19" s="38">
        <f t="shared" si="3"/>
        <v>33.413654618473892</v>
      </c>
      <c r="M19" s="38">
        <f t="shared" si="3"/>
        <v>45.943775100401602</v>
      </c>
    </row>
    <row r="20" spans="1:13" x14ac:dyDescent="0.35">
      <c r="A20">
        <v>16</v>
      </c>
      <c r="B20" s="36" t="s">
        <v>11</v>
      </c>
      <c r="C20" s="31">
        <v>223</v>
      </c>
      <c r="D20" s="31">
        <f t="shared" si="0"/>
        <v>178.4</v>
      </c>
      <c r="E20" s="37">
        <f t="shared" si="1"/>
        <v>5.5973895582329312E-2</v>
      </c>
      <c r="F20" s="38">
        <f t="shared" si="3"/>
        <v>80.602409638554207</v>
      </c>
      <c r="G20" s="38">
        <f t="shared" si="3"/>
        <v>80.602409638554207</v>
      </c>
      <c r="H20" s="38">
        <f t="shared" si="3"/>
        <v>44.779116465863453</v>
      </c>
      <c r="I20" s="38">
        <f t="shared" si="3"/>
        <v>26.867469879518069</v>
      </c>
      <c r="J20" s="38">
        <f t="shared" si="3"/>
        <v>35.823293172690761</v>
      </c>
      <c r="K20" s="38">
        <f t="shared" si="3"/>
        <v>165.68273092369478</v>
      </c>
      <c r="L20" s="38">
        <f t="shared" si="3"/>
        <v>71.646586345381522</v>
      </c>
      <c r="M20" s="38">
        <f t="shared" si="3"/>
        <v>98.514056224899591</v>
      </c>
    </row>
    <row r="21" spans="1:13" x14ac:dyDescent="0.35">
      <c r="A21">
        <v>22</v>
      </c>
      <c r="B21" s="36" t="s">
        <v>35</v>
      </c>
      <c r="C21" s="31">
        <v>328</v>
      </c>
      <c r="D21" s="31">
        <f t="shared" si="0"/>
        <v>262.40000000000003</v>
      </c>
      <c r="E21" s="37">
        <f t="shared" si="1"/>
        <v>8.2329317269076302E-2</v>
      </c>
      <c r="F21" s="38">
        <f t="shared" si="3"/>
        <v>118.55421686746988</v>
      </c>
      <c r="G21" s="38">
        <f t="shared" si="3"/>
        <v>118.55421686746988</v>
      </c>
      <c r="H21" s="38">
        <f t="shared" si="3"/>
        <v>65.863453815261039</v>
      </c>
      <c r="I21" s="38">
        <f t="shared" si="3"/>
        <v>39.518072289156628</v>
      </c>
      <c r="J21" s="38">
        <f t="shared" si="3"/>
        <v>52.690763052208837</v>
      </c>
      <c r="K21" s="38">
        <f t="shared" si="3"/>
        <v>243.69477911646587</v>
      </c>
      <c r="L21" s="38">
        <f t="shared" si="3"/>
        <v>105.38152610441767</v>
      </c>
      <c r="M21" s="38">
        <f t="shared" si="3"/>
        <v>144.89959839357428</v>
      </c>
    </row>
    <row r="22" spans="1:13" x14ac:dyDescent="0.35">
      <c r="A22">
        <v>23</v>
      </c>
      <c r="B22" s="36" t="s">
        <v>36</v>
      </c>
      <c r="C22" s="31">
        <v>25</v>
      </c>
      <c r="D22" s="31">
        <f t="shared" si="0"/>
        <v>20</v>
      </c>
      <c r="E22" s="37">
        <f t="shared" si="1"/>
        <v>6.2751004016064248E-3</v>
      </c>
      <c r="F22" s="38">
        <f t="shared" si="3"/>
        <v>9.0361445783132517</v>
      </c>
      <c r="G22" s="38">
        <f t="shared" si="3"/>
        <v>9.0361445783132517</v>
      </c>
      <c r="H22" s="38">
        <f t="shared" si="3"/>
        <v>5.0200803212851399</v>
      </c>
      <c r="I22" s="38">
        <f t="shared" si="3"/>
        <v>3.012048192771084</v>
      </c>
      <c r="J22" s="38">
        <f t="shared" si="3"/>
        <v>4.0160642570281118</v>
      </c>
      <c r="K22" s="38">
        <f t="shared" si="3"/>
        <v>18.574297188755018</v>
      </c>
      <c r="L22" s="38">
        <f t="shared" si="3"/>
        <v>8.0321285140562235</v>
      </c>
      <c r="M22" s="38">
        <f t="shared" si="3"/>
        <v>11.044176706827308</v>
      </c>
    </row>
    <row r="23" spans="1:13" x14ac:dyDescent="0.35">
      <c r="B23" s="36" t="s">
        <v>152</v>
      </c>
      <c r="C23" s="31">
        <v>3984</v>
      </c>
      <c r="D23" s="35">
        <f t="shared" si="0"/>
        <v>3187.2000000000003</v>
      </c>
      <c r="E23" s="33">
        <f t="shared" si="1"/>
        <v>1</v>
      </c>
      <c r="F23" s="39">
        <f t="shared" si="3"/>
        <v>1440</v>
      </c>
      <c r="G23" s="39">
        <f t="shared" si="3"/>
        <v>1440</v>
      </c>
      <c r="H23" s="39">
        <f t="shared" si="3"/>
        <v>800</v>
      </c>
      <c r="I23" s="39">
        <f t="shared" si="3"/>
        <v>480</v>
      </c>
      <c r="J23" s="39">
        <f t="shared" si="3"/>
        <v>640</v>
      </c>
      <c r="K23" s="39">
        <f t="shared" si="3"/>
        <v>2960</v>
      </c>
      <c r="L23" s="39">
        <f t="shared" si="3"/>
        <v>1280</v>
      </c>
      <c r="M23" s="39">
        <f t="shared" si="3"/>
        <v>1760</v>
      </c>
    </row>
  </sheetData>
  <autoFilter ref="A4:M4" xr:uid="{565CD691-AE1F-46CD-ACF4-5CBE0EACCE6A}">
    <sortState xmlns:xlrd2="http://schemas.microsoft.com/office/spreadsheetml/2017/richdata2" ref="A5:M23">
      <sortCondition ref="A4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AD553-8D57-4F1D-B453-44284AD3A001}">
  <dimension ref="A1:A8"/>
  <sheetViews>
    <sheetView workbookViewId="0">
      <selection activeCell="D20" sqref="D20"/>
    </sheetView>
  </sheetViews>
  <sheetFormatPr baseColWidth="10" defaultRowHeight="14.5" x14ac:dyDescent="0.35"/>
  <sheetData>
    <row r="1" spans="1:1" x14ac:dyDescent="0.35">
      <c r="A1" t="s">
        <v>154</v>
      </c>
    </row>
    <row r="2" spans="1:1" x14ac:dyDescent="0.35">
      <c r="A2" t="s">
        <v>155</v>
      </c>
    </row>
    <row r="3" spans="1:1" x14ac:dyDescent="0.35">
      <c r="A3" t="s">
        <v>156</v>
      </c>
    </row>
    <row r="4" spans="1:1" x14ac:dyDescent="0.35">
      <c r="A4" t="s">
        <v>157</v>
      </c>
    </row>
    <row r="5" spans="1:1" x14ac:dyDescent="0.35">
      <c r="A5" t="s">
        <v>158</v>
      </c>
    </row>
    <row r="6" spans="1:1" x14ac:dyDescent="0.35">
      <c r="A6" t="s">
        <v>159</v>
      </c>
    </row>
    <row r="7" spans="1:1" x14ac:dyDescent="0.35">
      <c r="A7" t="s">
        <v>160</v>
      </c>
    </row>
    <row r="8" spans="1:1" x14ac:dyDescent="0.35">
      <c r="A8" t="s">
        <v>161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C381-E82C-4186-9C8E-456C8B90127A}">
  <dimension ref="A1:A14"/>
  <sheetViews>
    <sheetView workbookViewId="0">
      <selection activeCell="D20" sqref="D20"/>
    </sheetView>
  </sheetViews>
  <sheetFormatPr baseColWidth="10" defaultRowHeight="14.5" x14ac:dyDescent="0.35"/>
  <sheetData>
    <row r="1" spans="1:1" x14ac:dyDescent="0.35">
      <c r="A1" t="s">
        <v>162</v>
      </c>
    </row>
    <row r="2" spans="1:1" x14ac:dyDescent="0.35">
      <c r="A2" t="s">
        <v>163</v>
      </c>
    </row>
    <row r="3" spans="1:1" x14ac:dyDescent="0.35">
      <c r="A3" t="s">
        <v>164</v>
      </c>
    </row>
    <row r="4" spans="1:1" x14ac:dyDescent="0.35">
      <c r="A4" t="s">
        <v>165</v>
      </c>
    </row>
    <row r="5" spans="1:1" x14ac:dyDescent="0.35">
      <c r="A5" t="s">
        <v>166</v>
      </c>
    </row>
    <row r="6" spans="1:1" x14ac:dyDescent="0.35">
      <c r="A6" t="s">
        <v>167</v>
      </c>
    </row>
    <row r="7" spans="1:1" x14ac:dyDescent="0.35">
      <c r="A7" t="s">
        <v>168</v>
      </c>
    </row>
    <row r="8" spans="1:1" x14ac:dyDescent="0.35">
      <c r="A8" t="s">
        <v>169</v>
      </c>
    </row>
    <row r="9" spans="1:1" x14ac:dyDescent="0.35">
      <c r="A9" t="s">
        <v>170</v>
      </c>
    </row>
    <row r="10" spans="1:1" x14ac:dyDescent="0.35">
      <c r="A10" t="s">
        <v>171</v>
      </c>
    </row>
    <row r="11" spans="1:1" x14ac:dyDescent="0.35">
      <c r="A11" t="s">
        <v>172</v>
      </c>
    </row>
    <row r="12" spans="1:1" x14ac:dyDescent="0.35">
      <c r="A12" t="s">
        <v>173</v>
      </c>
    </row>
    <row r="13" spans="1:1" x14ac:dyDescent="0.35">
      <c r="A13" t="s">
        <v>174</v>
      </c>
    </row>
    <row r="14" spans="1:1" x14ac:dyDescent="0.35">
      <c r="A14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Hoja2</vt:lpstr>
      <vt:lpstr>Hoja1</vt:lpstr>
      <vt:lpstr>Hoja3</vt:lpstr>
      <vt:lpstr>Hoja4</vt:lpstr>
      <vt:lpstr>Monica</vt:lpstr>
      <vt:lpstr>Efrain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Hernandez</dc:creator>
  <cp:lastModifiedBy>Gustavo Hernandez</cp:lastModifiedBy>
  <cp:lastPrinted>2026-04-15T14:51:43Z</cp:lastPrinted>
  <dcterms:created xsi:type="dcterms:W3CDTF">2015-06-05T18:19:34Z</dcterms:created>
  <dcterms:modified xsi:type="dcterms:W3CDTF">2026-10-07T17:00:13Z</dcterms:modified>
</cp:coreProperties>
</file>